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s\ExportTemplates\"/>
    </mc:Choice>
  </mc:AlternateContent>
  <bookViews>
    <workbookView xWindow="-108" yWindow="-108" windowWidth="23256" windowHeight="12576" tabRatio="795"/>
  </bookViews>
  <sheets>
    <sheet name="Footwear-Detailed-Breakdown" sheetId="17" r:id="rId1"/>
    <sheet name="Data Validation" sheetId="8" state="hidden" r:id="rId2"/>
    <sheet name="TCT Lookup" sheetId="9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'Footwear-Detailed-Breakdown'!$C$5:$D$12</definedName>
    <definedName name="_xlnm._FilterDatabase" localSheetId="2" hidden="1">'TCT Lookup'!$A$1:$E$1211</definedName>
    <definedName name="AttributeType">#REF!</definedName>
    <definedName name="AttributeType2">#REF!</definedName>
    <definedName name="BooleanValues">#REF!</definedName>
    <definedName name="brand">[1]lookup!$A$2:$A$25</definedName>
    <definedName name="CBD_SHOE_HEIGHT">[2]drop_down!$B$2:$B$5</definedName>
    <definedName name="ColorControlMode">#REF!</definedName>
    <definedName name="ComponentComposition">#REF!</definedName>
    <definedName name="CompositesConstruction">#REF!</definedName>
    <definedName name="coo">[1]lookup!$D$2:$D$25</definedName>
    <definedName name="CorrugatedMaterial">#REF!</definedName>
    <definedName name="CurrencyCode">#REF!</definedName>
    <definedName name="DisplayMode">#REF!</definedName>
    <definedName name="ElasticStructure">#REF!</definedName>
    <definedName name="EndType">#REF!</definedName>
    <definedName name="FoldType">#REF!</definedName>
    <definedName name="group">[1]lookup!$B$2:$B$25</definedName>
    <definedName name="HookEyeBarApp">#REF!</definedName>
    <definedName name="HookLoopApp">#REF!</definedName>
    <definedName name="HookLoopForm">#REF!</definedName>
    <definedName name="InternalExternal">#REF!</definedName>
    <definedName name="kl">#REF!</definedName>
    <definedName name="KnitType">#REF!</definedName>
    <definedName name="LabelApp">#REF!</definedName>
    <definedName name="LabelLanguage">#REF!</definedName>
    <definedName name="LeatherSatra">#REF!</definedName>
    <definedName name="LeatherSubtype">#REF!</definedName>
    <definedName name="LeatherThickness">#REF!</definedName>
    <definedName name="LeatherType">#REF!</definedName>
    <definedName name="Level">#REF!</definedName>
    <definedName name="lo">[1]lookup!$C$2:$C$25</definedName>
    <definedName name="MaterialComposition">#REF!</definedName>
    <definedName name="MaterialDevelopmentStatus">#REF!</definedName>
    <definedName name="MaterialPricingMode">#REF!</definedName>
    <definedName name="MaterialSupplierStatus">#REF!</definedName>
    <definedName name="MetalCategory">#REF!</definedName>
    <definedName name="MetalForm">#REF!</definedName>
    <definedName name="MetalShape">#REF!</definedName>
    <definedName name="PackagingCoatingFinishing">#REF!</definedName>
    <definedName name="PackagingMaterialQuality">#REF!</definedName>
    <definedName name="PackagingType">#REF!</definedName>
    <definedName name="PaymentTerms">#REF!</definedName>
    <definedName name="ProductSampleType">#REF!</definedName>
    <definedName name="RawMaterial">#REF!</definedName>
    <definedName name="SampleProductType">#REF!</definedName>
    <definedName name="SampleStatus">#REF!</definedName>
    <definedName name="SampleSubType">#REF!</definedName>
    <definedName name="SampleType">#REF!</definedName>
    <definedName name="Scope">#REF!</definedName>
    <definedName name="Shipping">#REF!</definedName>
    <definedName name="SizeWeight">#REF!</definedName>
    <definedName name="SnapCover">#REF!</definedName>
    <definedName name="source">[3]TechPack!$M$2:$M$11</definedName>
    <definedName name="SpecialClaims">#REF!</definedName>
    <definedName name="StampFinishPattern">#REF!</definedName>
    <definedName name="Standard">#REF!</definedName>
    <definedName name="Strength">#REF!</definedName>
    <definedName name="Structure">#REF!</definedName>
    <definedName name="SubA">[4]Materials!$M$30</definedName>
    <definedName name="SubB">[4]Materials!$M$36</definedName>
    <definedName name="SubC">[4]Materials!$M$40</definedName>
    <definedName name="SubD">[4]Materials!$M$44</definedName>
    <definedName name="SubE">[4]Materials!$M$54</definedName>
    <definedName name="SubmitNumber">#REF!</definedName>
    <definedName name="SubmitStatus">#REF!</definedName>
    <definedName name="SyntheticDurometer">#REF!</definedName>
    <definedName name="SyntheticForm">#REF!</definedName>
    <definedName name="SyntheticMaterial">#REF!</definedName>
    <definedName name="SyntheticShape">#REF!</definedName>
    <definedName name="TB_BASEMATERIAL">[5]drop_down!$X$2:$X$20</definedName>
    <definedName name="TB_BASEPATTERN_SIZE">[5]drop_down!$W$2:$W$6</definedName>
    <definedName name="TB_COLOR">[6]drop_down!$AP$2:$AP$21</definedName>
    <definedName name="TB_COMOLDING">[6]drop_down!$BD$2:$BD$3</definedName>
    <definedName name="TB_LONGCURINGTIME">[6]drop_down!$AX$2:$AX$3</definedName>
    <definedName name="TB_MANUAL_TRIMMING">[6]drop_down!$BM$2:$BM$51</definedName>
    <definedName name="TB_MIDSOLE_DENSITY">[6]drop_down!$AY$2:$AY$4</definedName>
    <definedName name="TB_MOLD_CAVITY">[6]drop_down!$AV$2:$AV$8</definedName>
    <definedName name="TB_MS_COLOR">[6]drop_down!$AZ$2:$AZ$5</definedName>
    <definedName name="TB_NO_COLOR">[5]drop_down!$Y$2:$Y$9</definedName>
    <definedName name="TB_OS_MOLD_CAVITY">[6]drop_down!$AO$2:$AO$7</definedName>
    <definedName name="TB_OS_SIDEWALL">[6]drop_down!$AS$2:$AS$3</definedName>
    <definedName name="TB_OS_THICKNESS">[6]drop_down!$AR$2:$AR$6</definedName>
    <definedName name="TB_PARTINGLINE">[6]drop_down!$BC$2:$BC$5</definedName>
    <definedName name="TB_PRINTING">[5]drop_down!$AB$2:$AB$3</definedName>
    <definedName name="TB_PRINTING_TYPE">[5]drop_down!$Z$2:$Z$18</definedName>
    <definedName name="TB_PROCESS_TYPE">[6]drop_down!$AW$2:$AW$6</definedName>
    <definedName name="TB_RECESS_POINTS">[6]drop_down!$BN$2:$BN$51</definedName>
    <definedName name="TB_SIZE_DESIGNCOLOR">[5]drop_down!$AC$2:$AC$19</definedName>
    <definedName name="TB_TYPE_OF_COMPOUND">[6]drop_down!$AQ$2:$AQ$9</definedName>
    <definedName name="Technology">#REF!</definedName>
    <definedName name="Temper">#REF!</definedName>
    <definedName name="ThreadComp">#REF!</definedName>
    <definedName name="type">[1]lookup!$E$2:$E$25</definedName>
    <definedName name="WashFinish">#REF!</definedName>
    <definedName name="WeaveTypeWoven">#REF!</definedName>
    <definedName name="WoodType">#REF!</definedName>
    <definedName name="YarnType">#REF!</definedName>
    <definedName name="YesNo">#REF!</definedName>
    <definedName name="YN">#REF!</definedName>
    <definedName name="ZipperDirection">#REF!</definedName>
    <definedName name="ZipperEndType">#REF!</definedName>
    <definedName name="ZipperFunctio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07" i="17" l="1"/>
  <c r="S208" i="17"/>
  <c r="S209" i="17"/>
  <c r="S210" i="17"/>
  <c r="S211" i="17"/>
  <c r="S212" i="17"/>
  <c r="S213" i="17"/>
  <c r="S214" i="17"/>
  <c r="S215" i="17"/>
  <c r="S216" i="17"/>
  <c r="S217" i="17"/>
  <c r="S218" i="17"/>
  <c r="S219" i="17"/>
  <c r="S220" i="17"/>
  <c r="S206" i="17"/>
  <c r="S52" i="17"/>
  <c r="S53" i="17"/>
  <c r="S54" i="17"/>
  <c r="S55" i="17"/>
  <c r="S56" i="17"/>
  <c r="S57" i="17"/>
  <c r="S58" i="17"/>
  <c r="S59" i="17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84" i="17"/>
  <c r="S85" i="17"/>
  <c r="S86" i="17"/>
  <c r="S87" i="17"/>
  <c r="S88" i="17"/>
  <c r="S89" i="17"/>
  <c r="S90" i="17"/>
  <c r="S91" i="17"/>
  <c r="S92" i="17"/>
  <c r="S93" i="17"/>
  <c r="S94" i="17"/>
  <c r="S95" i="17"/>
  <c r="S96" i="17"/>
  <c r="S97" i="17"/>
  <c r="S98" i="17"/>
  <c r="S99" i="17"/>
  <c r="S100" i="17"/>
  <c r="S101" i="17"/>
  <c r="S102" i="17"/>
  <c r="S103" i="17"/>
  <c r="S104" i="17"/>
  <c r="S105" i="17"/>
  <c r="S106" i="17"/>
  <c r="S107" i="17"/>
  <c r="S108" i="17"/>
  <c r="S109" i="17"/>
  <c r="S110" i="17"/>
  <c r="S111" i="17"/>
  <c r="S112" i="17"/>
  <c r="S113" i="17"/>
  <c r="S114" i="17"/>
  <c r="S115" i="17"/>
  <c r="S116" i="17"/>
  <c r="S117" i="17"/>
  <c r="S118" i="17"/>
  <c r="S119" i="17"/>
  <c r="S120" i="17"/>
  <c r="S121" i="17"/>
  <c r="S122" i="17"/>
  <c r="S123" i="17"/>
  <c r="S124" i="17"/>
  <c r="S125" i="17"/>
  <c r="S126" i="17"/>
  <c r="S127" i="17"/>
  <c r="S128" i="17"/>
  <c r="S129" i="17"/>
  <c r="S130" i="17"/>
  <c r="S131" i="17"/>
  <c r="S132" i="17"/>
  <c r="S133" i="17"/>
  <c r="S134" i="17"/>
  <c r="S135" i="17"/>
  <c r="S136" i="17"/>
  <c r="S137" i="17"/>
  <c r="S138" i="17"/>
  <c r="S139" i="17"/>
  <c r="S140" i="17"/>
  <c r="S141" i="17"/>
  <c r="S142" i="17"/>
  <c r="S143" i="17"/>
  <c r="S144" i="17"/>
  <c r="S145" i="17"/>
  <c r="S146" i="17"/>
  <c r="S147" i="17"/>
  <c r="S148" i="17"/>
  <c r="S149" i="17"/>
  <c r="S150" i="17"/>
  <c r="S151" i="17"/>
  <c r="S152" i="17"/>
  <c r="S153" i="17"/>
  <c r="S154" i="17"/>
  <c r="S155" i="17"/>
  <c r="S156" i="17"/>
  <c r="S157" i="17"/>
  <c r="S158" i="17"/>
  <c r="S159" i="17"/>
  <c r="S160" i="17"/>
  <c r="S161" i="17"/>
  <c r="S162" i="17"/>
  <c r="S163" i="17"/>
  <c r="S164" i="17"/>
  <c r="S165" i="17"/>
  <c r="S166" i="17"/>
  <c r="S167" i="17"/>
  <c r="S168" i="17"/>
  <c r="S169" i="17"/>
  <c r="S170" i="17"/>
  <c r="S171" i="17"/>
  <c r="S172" i="17"/>
  <c r="S173" i="17"/>
  <c r="S174" i="17"/>
  <c r="S175" i="17"/>
  <c r="S176" i="17"/>
  <c r="S177" i="17"/>
  <c r="S178" i="17"/>
  <c r="S179" i="17"/>
  <c r="S180" i="17"/>
  <c r="S181" i="17"/>
  <c r="S182" i="17"/>
  <c r="S183" i="17"/>
  <c r="S184" i="17"/>
  <c r="S185" i="17"/>
  <c r="S186" i="17"/>
  <c r="S187" i="17"/>
  <c r="S188" i="17"/>
  <c r="S189" i="17"/>
  <c r="S190" i="17"/>
  <c r="S191" i="17"/>
  <c r="S192" i="17"/>
  <c r="S193" i="17"/>
  <c r="S194" i="17"/>
  <c r="S195" i="17"/>
  <c r="S196" i="17"/>
  <c r="S197" i="17"/>
  <c r="S198" i="17"/>
  <c r="S199" i="17"/>
  <c r="S200" i="17"/>
  <c r="S201" i="17"/>
  <c r="S51" i="17"/>
  <c r="V25" i="17" l="1"/>
  <c r="V24" i="17"/>
  <c r="V23" i="17"/>
  <c r="V22" i="17"/>
  <c r="V21" i="17"/>
  <c r="H25" i="17" l="1"/>
  <c r="H24" i="17"/>
  <c r="H23" i="17"/>
  <c r="H22" i="17"/>
  <c r="H2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P33" i="17" l="1"/>
  <c r="R220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06" i="17"/>
  <c r="R51" i="17"/>
  <c r="R33" i="17"/>
  <c r="T207" i="17" l="1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06" i="17" l="1"/>
  <c r="N28" i="17" l="1"/>
  <c r="N43" i="17"/>
  <c r="R31" i="17"/>
  <c r="R30" i="17"/>
  <c r="R28" i="17"/>
  <c r="R27" i="17"/>
  <c r="R26" i="17"/>
  <c r="R25" i="17"/>
  <c r="N42" i="17" l="1"/>
  <c r="N32" i="17"/>
  <c r="N30" i="17"/>
  <c r="R23" i="17"/>
  <c r="R21" i="17"/>
  <c r="N37" i="17"/>
  <c r="N24" i="17" l="1"/>
  <c r="N33" i="17"/>
  <c r="N38" i="17"/>
  <c r="R24" i="17"/>
  <c r="N31" i="17"/>
  <c r="N34" i="17"/>
  <c r="N36" i="17"/>
  <c r="AG49" i="17" l="1"/>
  <c r="P29" i="17" s="1"/>
  <c r="R29" i="17" s="1"/>
  <c r="AF49" i="17"/>
  <c r="P20" i="17" s="1"/>
  <c r="R20" i="17" s="1"/>
  <c r="AE49" i="17"/>
  <c r="L41" i="17" s="1"/>
  <c r="N41" i="17" s="1"/>
  <c r="AD49" i="17"/>
  <c r="L40" i="17" s="1"/>
  <c r="N40" i="17" s="1"/>
  <c r="AC49" i="17"/>
  <c r="L27" i="17" s="1"/>
  <c r="N27" i="17" s="1"/>
  <c r="AB49" i="17"/>
  <c r="L26" i="17" s="1"/>
  <c r="N26" i="17" s="1"/>
  <c r="AA49" i="17"/>
  <c r="L25" i="17" s="1"/>
  <c r="N25" i="17" s="1"/>
  <c r="Z49" i="17"/>
  <c r="L23" i="17" s="1"/>
  <c r="N23" i="17" s="1"/>
  <c r="Y49" i="17"/>
  <c r="L22" i="17" s="1"/>
  <c r="N22" i="17" s="1"/>
  <c r="X49" i="17"/>
  <c r="L21" i="17" s="1"/>
  <c r="N21" i="17" s="1"/>
  <c r="W49" i="17"/>
  <c r="L20" i="17" s="1"/>
  <c r="N20" i="17" s="1"/>
  <c r="E28" i="17"/>
  <c r="H31" i="17" s="1"/>
  <c r="H20" i="17" l="1"/>
  <c r="V20" i="17"/>
  <c r="H30" i="17"/>
  <c r="H28" i="17"/>
  <c r="H29" i="17"/>
  <c r="R42" i="17"/>
  <c r="H27" i="17" l="1"/>
  <c r="H19" i="17"/>
  <c r="H32" i="17" l="1"/>
  <c r="H34" i="17" s="1"/>
  <c r="H35" i="17" l="1"/>
  <c r="D526" i="9"/>
</calcChain>
</file>

<file path=xl/comments1.xml><?xml version="1.0" encoding="utf-8"?>
<comments xmlns="http://schemas.openxmlformats.org/spreadsheetml/2006/main">
  <authors>
    <author>Rashmi</author>
    <author>Naveen Kumar Shivarathri</author>
    <author>Praveen Rajegowda</author>
  </authors>
  <commentList>
    <comment ref="D7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Rashmi:{*du|var:scMilestoneStatus|ft:com.lcs.wc.sourcing.LCSCostSheet}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Rashmi:{*ud|var: scSampleSize|ft:com.lcs.wc.sourcing.LCSCostSheet}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Rashmi:{*du|var:scVendorCostSheetStatus|ft:com.lcs.wc.sourcing.LCSCostSheet}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E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 {*du|var:scIncoterms|ft:com.lcs.wc.sourcing.LCSCostSheet}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Rashmi:{*u|var:scTextilesyntheticpcs|ft:com.lcs.wc.sourcing.LCSCostSheet|locked}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0" authorId="0" shapeId="0">
      <text>
        <r>
          <rPr>
            <b/>
            <sz val="9"/>
            <color indexed="81"/>
            <rFont val="Tahoma"/>
            <family val="2"/>
          </rPr>
          <t>Rashmi:{*u|var:scBottompieces|ft:com.lcs.wc.sourcing.LCSCostSheet|locked}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>
      <text>
        <r>
          <rPr>
            <b/>
            <sz val="9"/>
            <color indexed="81"/>
            <rFont val="Tahoma"/>
            <family val="2"/>
          </rPr>
          <t>Rashmi:{*u|var:scBottompiecesTCTmins|ft:com.lcs.wc.sourcing.LCSCostSheet|locked}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0" authorId="0" shapeId="0">
      <text>
        <r>
          <rPr>
            <sz val="9"/>
            <color indexed="81"/>
            <rFont val="Tahoma"/>
            <family val="2"/>
          </rPr>
          <t xml:space="preserve">{*u|var:scAdditionalUpper|ft:com.lcs.wc.sourcing.LCSCostSheet|locked}
</t>
        </r>
      </text>
    </comment>
    <comment ref="E2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{*du|var:scIncotermlocation|ft:com.lcs.wc.sourcing.LCSCostSheet}</t>
        </r>
      </text>
    </comment>
    <comment ref="H2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1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Rashmi:{*u|var:scTextilesyntheticpcsforsinglelayercuttingTCTmins|ft:com.lcs.wc.sourcing.LCSCostSheet|locked}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1" authorId="0" shapeId="0">
      <text>
        <r>
          <rPr>
            <b/>
            <sz val="9"/>
            <color indexed="81"/>
            <rFont val="Tahoma"/>
            <family val="2"/>
          </rPr>
          <t>Rashmi:{*du|var:scRecesspointsandEmbossdebosswindows|ft:com.lcs.wc.sourcing.LCSCostSheet}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>
      <text>
        <r>
          <rPr>
            <b/>
            <sz val="9"/>
            <color indexed="81"/>
            <rFont val="Tahoma"/>
            <family val="2"/>
          </rPr>
          <t>Rashmi:{*u|var:scRecesspointsandEmbossdebosswindowsTCTmins|ft:com.lcs.wc.sourcing.LCSCostSheet|locked}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1" authorId="0" shapeId="0">
      <text>
        <r>
          <rPr>
            <b/>
            <sz val="9"/>
            <color indexed="81"/>
            <rFont val="Tahoma"/>
            <family val="2"/>
          </rPr>
          <t>{*u|var:scAdditionalSockliner|ft:com.lcs.wc.sourcing.LCSCostSheet|locked}</t>
        </r>
      </text>
    </comment>
    <comment ref="H2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2" authorId="0" shapeId="0">
      <text>
        <r>
          <rPr>
            <b/>
            <sz val="9"/>
            <color indexed="81"/>
            <rFont val="Tahoma"/>
            <family val="2"/>
          </rPr>
          <t>Rashmi:{*u|var:scCutPrepLEATHER|ft:com.lcs.wc.sourcing.LCSCostSheet|locked}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9"/>
            <color indexed="81"/>
            <rFont val="Tahoma"/>
            <family val="2"/>
          </rPr>
          <t>Rashmi:{*u|var:scCutPrepLEATHERTCTmins|ft:com.lcs.wc.sourcing.LCSCostSheet|locked}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2" authorId="0" shapeId="0">
      <text>
        <r>
          <rPr>
            <b/>
            <sz val="9"/>
            <color indexed="81"/>
            <rFont val="Tahoma"/>
            <family val="2"/>
          </rPr>
          <t>{*u|var:scAdditionalInsole|ft:com.lcs.wc.sourcing.LCSCostSheet|locked}</t>
        </r>
      </text>
    </comment>
    <comment ref="H23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3" authorId="0" shapeId="0">
      <text>
        <r>
          <rPr>
            <b/>
            <sz val="9"/>
            <color indexed="81"/>
            <rFont val="Tahoma"/>
            <family val="2"/>
          </rPr>
          <t>Rashmi:{*u|var:scPairMatching|ft:com.lcs.wc.sourcing.LCSCostSheet|locked}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3" authorId="0" shapeId="0">
      <text>
        <r>
          <rPr>
            <b/>
            <sz val="9"/>
            <color indexed="81"/>
            <rFont val="Tahoma"/>
            <family val="2"/>
          </rPr>
          <t>Rashmi:{*u|var:scPairMatchingTCTmins|ft:com.lcs.wc.sourcing.LCSCostSheet|locked}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3" authorId="0" shapeId="0">
      <text>
        <r>
          <rPr>
            <b/>
            <sz val="9"/>
            <color indexed="81"/>
            <rFont val="Tahoma"/>
            <family val="2"/>
          </rPr>
          <t>Rashmi:{*du|var:scHeelcounter1|ft:com.lcs.wc.sourcing.LCSCostSheet}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3" authorId="0" shapeId="0">
      <text>
        <r>
          <rPr>
            <b/>
            <sz val="9"/>
            <color indexed="81"/>
            <rFont val="Tahoma"/>
            <family val="2"/>
          </rPr>
          <t>Rashmi:{*u|var:scHeelcounter1TCTmins|ft:com.lcs.wc.sourcing.LCSCostSheet|locked}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3" authorId="0" shapeId="0">
      <text>
        <r>
          <rPr>
            <sz val="9"/>
            <color indexed="81"/>
            <rFont val="Tahoma"/>
            <family val="2"/>
          </rPr>
          <t xml:space="preserve">{*u|var:scAdditionalBottom|ft:com.lcs.wc.sourcing.LCSCostSheet|locked}
</t>
        </r>
      </text>
    </comment>
    <comment ref="H2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4" authorId="0" shapeId="0">
      <text>
        <r>
          <rPr>
            <b/>
            <sz val="9"/>
            <color indexed="81"/>
            <rFont val="Tahoma"/>
            <family val="2"/>
          </rPr>
          <t>Rashmi:{*du|var:scShoesHeight|ft:com.lcs.wc.sourcing.LCSCostSheet}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>
      <text>
        <r>
          <rPr>
            <b/>
            <sz val="9"/>
            <color indexed="81"/>
            <rFont val="Tahoma"/>
            <family val="2"/>
          </rPr>
          <t>Rashmi:{*u|var:scShoesHeightTCTmins|ft:com.lcs.wc.sourcing.LCSCostSheet|locked}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4" authorId="0" shapeId="0">
      <text>
        <r>
          <rPr>
            <b/>
            <sz val="9"/>
            <color indexed="81"/>
            <rFont val="Tahoma"/>
            <family val="2"/>
          </rPr>
          <t>Rashmi:{*du|var:scHeelcounter2|ft:com.lcs.wc.sourcing.LCSCostSheet}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4" authorId="0" shapeId="0">
      <text>
        <r>
          <rPr>
            <b/>
            <sz val="9"/>
            <color indexed="81"/>
            <rFont val="Tahoma"/>
            <family val="2"/>
          </rPr>
          <t xml:space="preserve">Rashmi:{*u|var:scHeelcounter2TCTmins|ft:com.lcs.wc.sourcing.LCSCostSheet|locked}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4" authorId="0" shapeId="0">
      <text>
        <r>
          <rPr>
            <b/>
            <sz val="9"/>
            <color indexed="81"/>
            <rFont val="Tahoma"/>
            <family val="2"/>
          </rPr>
          <t>{*u|var:scAdditionalSundries|ft:com.lcs.wc.sourcing.LCSCostSheet|locked}</t>
        </r>
      </text>
    </comment>
    <comment ref="H2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5" authorId="0" shapeId="0">
      <text>
        <r>
          <rPr>
            <b/>
            <sz val="9"/>
            <color indexed="81"/>
            <rFont val="Tahoma"/>
            <family val="2"/>
          </rPr>
          <t>Rashmi:{*u|var:scofstitchedupperpcs|ft:com.lcs.wc.sourcing.LCSCostSheet|locked}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5" authorId="0" shapeId="0">
      <text>
        <r>
          <rPr>
            <b/>
            <sz val="9"/>
            <color indexed="81"/>
            <rFont val="Tahoma"/>
            <family val="2"/>
          </rPr>
          <t>Rashmi:{*u|var:scofstitchedupperpcsTCTmins|ft:com.lcs.wc.sourcing.LCSCostSheet|locked}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5" authorId="0" shapeId="0">
      <text>
        <r>
          <rPr>
            <b/>
            <sz val="9"/>
            <color indexed="81"/>
            <rFont val="Tahoma"/>
            <family val="2"/>
          </rPr>
          <t>Rashmi:{*du|var:scConstructiontype|ft:com.lcs.wc.sourcing.LCSCostSheet}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5" authorId="0" shapeId="0">
      <text>
        <r>
          <rPr>
            <b/>
            <sz val="9"/>
            <color indexed="81"/>
            <rFont val="Tahoma"/>
            <family val="2"/>
          </rPr>
          <t>Rashmi:{*u|var:scConstructiontypeTCTmins|ft:com.lcs.wc.sourcing.LCSCostSheet|locked}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25" authorId="0" shapeId="0">
      <text>
        <r>
          <rPr>
            <b/>
            <sz val="9"/>
            <color indexed="81"/>
            <rFont val="Tahoma"/>
            <family val="2"/>
          </rPr>
          <t>{*u|var:scAdditionalPackaging|ft:com.lcs.wc.sourcing.LCSCostSheet|locked}</t>
        </r>
      </text>
    </comment>
    <comment ref="H26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Rashmi:{*du|var:scBOMOverride|ft:com.lcs.wc.sourcing.LCSCostSheet}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6" authorId="0" shapeId="0">
      <text>
        <r>
          <rPr>
            <b/>
            <sz val="9"/>
            <color indexed="81"/>
            <rFont val="Tahoma"/>
            <family val="2"/>
          </rPr>
          <t>Rashmi:{*u|var:scStitchandTurn|ft:com.lcs.wc.sourcing.LCSCostSheet|locked}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6" authorId="0" shapeId="0">
      <text>
        <r>
          <rPr>
            <b/>
            <sz val="9"/>
            <color indexed="81"/>
            <rFont val="Tahoma"/>
            <family val="2"/>
          </rPr>
          <t>Rashmi:{*u|var:scStitchandTurnTCTmins|ft:com.lcs.wc.sourcing.LCSCostSheet|locked}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6" authorId="0" shapeId="0">
      <text>
        <r>
          <rPr>
            <b/>
            <sz val="9"/>
            <color indexed="81"/>
            <rFont val="Tahoma"/>
            <family val="2"/>
          </rPr>
          <t>Rashmi:{*du|var:scOutsolestitching|ft:com.lcs.wc.sourcing.LCSCostSheet}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6" authorId="0" shapeId="0">
      <text>
        <r>
          <rPr>
            <b/>
            <sz val="9"/>
            <color indexed="81"/>
            <rFont val="Tahoma"/>
            <family val="2"/>
          </rPr>
          <t>Rashmi:{*u|var:scOutsolestitchingTCTmins|ft:com.lcs.wc.sourcing.LCSCostSheet|locked}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7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7" authorId="0" shapeId="0">
      <text>
        <r>
          <rPr>
            <b/>
            <sz val="9"/>
            <color indexed="81"/>
            <rFont val="Tahoma"/>
            <family val="2"/>
          </rPr>
          <t>Rashmi:{*u|var:scFoldedEdge|ft:com.lcs.wc.sourcing.LCSCostSheet|locked}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7" authorId="0" shapeId="0">
      <text>
        <r>
          <rPr>
            <b/>
            <sz val="9"/>
            <color indexed="81"/>
            <rFont val="Tahoma"/>
            <family val="2"/>
          </rPr>
          <t>Rashmi:{*u|var:scFoldedEdgeTCTmins|ft:com.lcs.wc.sourcing.LCSCostSheet|locked}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7" authorId="0" shapeId="0">
      <text>
        <r>
          <rPr>
            <b/>
            <sz val="9"/>
            <color indexed="81"/>
            <rFont val="Tahoma"/>
            <family val="2"/>
          </rPr>
          <t>Rashmi:{*du|var:scUpperBottomLineUp|ft:com.lcs.wc.sourcing.LCSCostSheet}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7" authorId="0" shapeId="0">
      <text>
        <r>
          <rPr>
            <b/>
            <sz val="9"/>
            <color indexed="81"/>
            <rFont val="Tahoma"/>
            <family val="2"/>
          </rPr>
          <t>Rashmi:{*u|var:scUpperBottomLineUpTCTmins|ft:com.lcs.wc.sourcing.LCSCostSheet|locked}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H28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28" authorId="0" shapeId="0">
      <text>
        <r>
          <rPr>
            <b/>
            <sz val="9"/>
            <color indexed="81"/>
            <rFont val="Tahoma"/>
            <family val="2"/>
          </rPr>
          <t>Rashmi:{*du|var:scSpecialupperconstruction|ft:com.lcs.wc.sourcing.LCSCostSheet}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8" authorId="0" shapeId="0">
      <text>
        <r>
          <rPr>
            <b/>
            <sz val="9"/>
            <color indexed="81"/>
            <rFont val="Tahoma"/>
            <family val="2"/>
          </rPr>
          <t>Rashmi:{*u|var:scSpecialupperconstructionTCTmins|ft:com.lcs.wc.sourcing.LCSCostSheet|locked}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28" authorId="0" shapeId="0">
      <text>
        <r>
          <rPr>
            <b/>
            <sz val="9"/>
            <color indexed="81"/>
            <rFont val="Tahoma"/>
            <family val="2"/>
          </rPr>
          <t xml:space="preserve">Rashmi:{*du|var:scSockliner|ft:com.lcs.wc.sourcing.LCSCostSheet}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8" authorId="0" shapeId="0">
      <text>
        <r>
          <rPr>
            <b/>
            <sz val="9"/>
            <color indexed="81"/>
            <rFont val="Tahoma"/>
            <family val="2"/>
          </rPr>
          <t>Rashmi:{*u|var:scSocklinerTCTmins|ft:com.lcs.wc.sourcing.LCSCostSheet|locked}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29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Rashmi:{*du|var:scLaborRate|ft:com.lcs.wc.sourcing.LCSCostSheet}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2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P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9" authorId="0" shapeId="0">
      <text>
        <r>
          <rPr>
            <b/>
            <sz val="9"/>
            <color indexed="81"/>
            <rFont val="Tahoma"/>
            <family val="2"/>
          </rPr>
          <t>Rashmi:{*u|var:scAttachedcomponentsduringassemblyTCTmins|ft:com.lcs.wc.sourcing.LCSCostSheet|locked}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0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Rashmi:{*du|var:scOHRate|ft:com.lcs.wc.sourcing.LCSCostSheet}</t>
        </r>
        <r>
          <rPr>
            <sz val="16"/>
            <color indexed="81"/>
            <rFont val="Calibri"/>
            <family val="2"/>
            <scheme val="minor"/>
          </rPr>
          <t xml:space="preserve">
</t>
        </r>
      </text>
    </comment>
    <comment ref="H30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0" authorId="0" shapeId="0">
      <text>
        <r>
          <rPr>
            <b/>
            <sz val="9"/>
            <color indexed="81"/>
            <rFont val="Tahoma"/>
            <family val="2"/>
          </rPr>
          <t>Rashmi:{*du|var:scPunchholes|ft:com.lcs.wc.sourcing.LCSCostSheet}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0" authorId="0" shapeId="0">
      <text>
        <r>
          <rPr>
            <b/>
            <sz val="9"/>
            <color indexed="81"/>
            <rFont val="Tahoma"/>
            <family val="2"/>
          </rPr>
          <t>Rashmi:{*u|var:scPunchholesTCTmins|ft:com.lcs.wc.sourcing.LCSCostSheet|locked}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0" authorId="0" shapeId="0">
      <text>
        <r>
          <rPr>
            <b/>
            <sz val="9"/>
            <color indexed="81"/>
            <rFont val="Tahoma"/>
            <family val="2"/>
          </rPr>
          <t>Rashmi:{*du|var:scLacing|ft:com.lcs.wc.sourcing.LCSCostSheet}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0" authorId="0" shapeId="0">
      <text>
        <r>
          <rPr>
            <b/>
            <sz val="9"/>
            <color indexed="81"/>
            <rFont val="Tahoma"/>
            <family val="2"/>
          </rPr>
          <t>Rashmi:{*u|var:scLacingTCTmins|ft:com.lcs.wc.sourcing.LCSCostSheet|locked}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1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1" authorId="0" shapeId="0">
      <text>
        <r>
          <rPr>
            <b/>
            <sz val="9"/>
            <color indexed="81"/>
            <rFont val="Tahoma"/>
            <family val="2"/>
          </rPr>
          <t>Rashmi:{*du|var:scMetaleyelets|ft:com.lcs.wc.sourcing.LCSCostSheet}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1" authorId="0" shapeId="0">
      <text>
        <r>
          <rPr>
            <b/>
            <sz val="9"/>
            <color indexed="81"/>
            <rFont val="Tahoma"/>
            <family val="2"/>
          </rPr>
          <t>Rashmi:{*u|var:scMetaleyeletsTCTmins|ft:com.lcs.wc.sourcing.LCSCostSheet|locked}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1" authorId="0" shapeId="0">
      <text>
        <r>
          <rPr>
            <b/>
            <sz val="9"/>
            <color indexed="81"/>
            <rFont val="Tahoma"/>
            <family val="2"/>
          </rPr>
          <t>Rashmi:{*du|var:scPackaging|ft:com.lcs.wc.sourcing.LCSCostSheet}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31" authorId="0" shapeId="0">
      <text>
        <r>
          <rPr>
            <b/>
            <sz val="9"/>
            <color indexed="81"/>
            <rFont val="Tahoma"/>
            <family val="2"/>
          </rPr>
          <t xml:space="preserve">Rashmi:{*u|var:scPackagingTCTmins|ft:com.lcs.wc.sourcing.LCSCostSheet|locked}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2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Rashmi:{*du|var:scProfitPercent|ft:com.lcs.wc.sourcing.LCSCostSheet}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2" authorId="0" shapeId="0">
      <text>
        <r>
          <rPr>
            <b/>
            <sz val="9"/>
            <color indexed="81"/>
            <rFont val="Tahoma"/>
            <family val="2"/>
          </rPr>
          <t>Rashmi:{*du|var:scInsertedlaceloops|ft:com.lcs.wc.sourcing.LCSCostSheet}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2" authorId="0" shapeId="0">
      <text>
        <r>
          <rPr>
            <b/>
            <sz val="9"/>
            <color indexed="81"/>
            <rFont val="Tahoma"/>
            <family val="2"/>
          </rPr>
          <t>Rashmi:{*u|var:scInsertedlaceloopsTCTmins|ft:com.lcs.wc.sourcing.LCSCostSheet|locked}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Rashmi:{*du|var:scOverheadPremium|ft:com.lcs.wc.sourcing.LCSCostSheet}</t>
        </r>
      </text>
    </comment>
    <comment ref="H33" authorId="0" shapeId="0">
      <text>
        <r>
          <rPr>
            <b/>
            <sz val="16"/>
            <color indexed="81"/>
            <rFont val="Calibri"/>
            <family val="2"/>
            <scheme val="minor"/>
          </rPr>
          <t>Rashmi:{*du|var:scToolingAmortization|ft:com.lcs.wc.sourcing.LCSCostSheet}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3" authorId="0" shapeId="0">
      <text>
        <r>
          <rPr>
            <b/>
            <sz val="9"/>
            <color indexed="81"/>
            <rFont val="Tahoma"/>
            <family val="2"/>
          </rPr>
          <t>Rashmi:{*du|var:scStitchedonlaceloops|ft:com.lcs.wc.sourcing.LCSCostSheet}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3" authorId="0" shapeId="0">
      <text>
        <r>
          <rPr>
            <b/>
            <sz val="9"/>
            <color indexed="81"/>
            <rFont val="Tahoma"/>
            <family val="2"/>
          </rPr>
          <t>Rashmi:{*u|var:scStitchedonlaceloopsTCTmins|ft:com.lcs.wc.sourcing.LCSCostSheet|locked}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{*u|var:scOtherProcesses|ft:com.lcs.wc.sourcing.LCSCostSheet|locked}</t>
        </r>
      </text>
    </comment>
    <comment ref="R33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{*u|var:scOtherProcessesTCTmins|ft:com.lcs.wc.sourcing.LCSCostSheet|locked}</t>
        </r>
      </text>
    </comment>
    <comment ref="H34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4" authorId="0" shapeId="0">
      <text>
        <r>
          <rPr>
            <b/>
            <sz val="9"/>
            <color indexed="81"/>
            <rFont val="Tahoma"/>
            <family val="2"/>
          </rPr>
          <t>Rashmi:{*du|var:scGhillies|ft:com.lcs.wc.sourcing.LCSCostSheet}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4" authorId="0" shapeId="0">
      <text>
        <r>
          <rPr>
            <b/>
            <sz val="9"/>
            <color indexed="81"/>
            <rFont val="Tahoma"/>
            <family val="2"/>
          </rPr>
          <t>Rashmi:{*u|var:scGhilliesTCTmins|ft:com.lcs.wc.sourcing.LCSCostSheet|locked}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{*d|var:scOtherProcesses|ft:com.lcs.wc.sourcing.LCSCostSheet}</t>
        </r>
      </text>
    </comment>
    <comment ref="R34" authorId="0" shapeId="0">
      <text>
        <r>
          <rPr>
            <b/>
            <sz val="9"/>
            <color indexed="81"/>
            <rFont val="Tahoma"/>
            <charset val="1"/>
          </rPr>
          <t>Rashmi:</t>
        </r>
        <r>
          <rPr>
            <sz val="9"/>
            <color indexed="81"/>
            <rFont val="Tahoma"/>
            <charset val="1"/>
          </rPr>
          <t xml:space="preserve">
{*d|var:scOtherProcessesTCTmins|ft:com.lcs.wc.sourcing.LCSCostSheet}</t>
        </r>
      </text>
    </comment>
    <comment ref="H35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36" authorId="0" shapeId="0">
      <text>
        <r>
          <rPr>
            <b/>
            <sz val="9"/>
            <color indexed="81"/>
            <rFont val="Tahoma"/>
            <family val="2"/>
          </rPr>
          <t>Rashmi:{*du|var:scLockstitchoverlockstitchFlatStitch|ft:com.lcs.wc.sourcing.LCSCostSheet}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6" authorId="0" shapeId="0">
      <text>
        <r>
          <rPr>
            <b/>
            <sz val="9"/>
            <color indexed="81"/>
            <rFont val="Tahoma"/>
            <family val="2"/>
          </rPr>
          <t>Rashmi:{*u|var:scLockstitchoverlockstitchFlatStitchTCTmins|ft:com.lcs.wc.sourcing.LCSCostSheet|locked}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7" authorId="0" shapeId="0">
      <text>
        <r>
          <rPr>
            <b/>
            <sz val="9"/>
            <color indexed="81"/>
            <rFont val="Tahoma"/>
            <family val="2"/>
          </rPr>
          <t>Rashmi:{*du|var:scBoxstitch|ft:com.lcs.wc.sourcing.LCSCostSheet}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7" authorId="0" shapeId="0">
      <text>
        <r>
          <rPr>
            <b/>
            <sz val="9"/>
            <color indexed="81"/>
            <rFont val="Tahoma"/>
            <family val="2"/>
          </rPr>
          <t>Rashmi:{*u|var:scBoxstitchTCTmins|ft:com.lcs.wc.sourcing.LCSCostSheet|locked}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>
      <text>
        <r>
          <rPr>
            <b/>
            <sz val="9"/>
            <color indexed="81"/>
            <rFont val="Tahoma"/>
            <family val="2"/>
          </rPr>
          <t>Rashmi:{*du|var:scTriplestitch|ft:com.lcs.wc.sourcing.LCSCostSheet}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38" authorId="0" shapeId="0">
      <text>
        <r>
          <rPr>
            <b/>
            <sz val="9"/>
            <color indexed="81"/>
            <rFont val="Tahoma"/>
            <family val="2"/>
          </rPr>
          <t>Rashmi:{*u|var:scTriplestitchTCTmins|ft:com.lcs.wc.sourcing.LCSCostSheet|locked}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0" authorId="0" shapeId="0">
      <text>
        <r>
          <rPr>
            <b/>
            <sz val="9"/>
            <color indexed="81"/>
            <rFont val="Tahoma"/>
            <family val="2"/>
          </rPr>
          <t>Rashmi:{*u|var:scEnglishbinding|ft:com.lcs.wc.sourcing.LCSCostSheet|locked}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0" authorId="0" shapeId="0">
      <text>
        <r>
          <rPr>
            <b/>
            <sz val="9"/>
            <color indexed="81"/>
            <rFont val="Tahoma"/>
            <family val="2"/>
          </rPr>
          <t>Rashmi:{*u|var:scEnglishbindingTCTmins|ft:com.lcs.wc.sourcing.LCSCostSheet|locked}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1" authorId="0" shapeId="0">
      <text>
        <r>
          <rPr>
            <b/>
            <sz val="9"/>
            <color indexed="81"/>
            <rFont val="Tahoma"/>
            <family val="2"/>
          </rPr>
          <t>Rashmi:{*u|var:scFrenchbinding|ft:com.lcs.wc.sourcing.LCSCostSheet|locked}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0" shapeId="0">
      <text>
        <r>
          <rPr>
            <b/>
            <sz val="9"/>
            <color indexed="81"/>
            <rFont val="Tahoma"/>
            <family val="2"/>
          </rPr>
          <t>Rashmi:{*u|var:scFrenchbindingTCTmins|ft:com.lcs.wc.sourcing.LCSCostSheet|locked}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42" authorId="0" shapeId="0">
      <text>
        <r>
          <rPr>
            <b/>
            <sz val="9"/>
            <color indexed="81"/>
            <rFont val="Tahoma"/>
            <family val="2"/>
          </rPr>
          <t>Rashmi:{*du|var:scNosewbinding|ft:com.lcs.wc.sourcing.LCSCostSheet}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2" authorId="0" shapeId="0">
      <text>
        <r>
          <rPr>
            <b/>
            <sz val="9"/>
            <color indexed="81"/>
            <rFont val="Tahoma"/>
            <family val="2"/>
          </rPr>
          <t>Rashmi:{*u|var:scNosewbindingTCTmins|ft:com.lcs.wc.sourcing.LCSCostSheet|locked}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42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L43" authorId="0" shapeId="0">
      <text>
        <r>
          <rPr>
            <b/>
            <sz val="9"/>
            <color indexed="81"/>
            <rFont val="Tahoma"/>
            <family val="2"/>
          </rPr>
          <t>Rashmi:{*du|var:scPocketconstruction|ft:com.lcs.wc.sourcing.LCSCostSheet}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3" authorId="0" shapeId="0">
      <text>
        <r>
          <rPr>
            <b/>
            <sz val="9"/>
            <color indexed="81"/>
            <rFont val="Tahoma"/>
            <family val="2"/>
          </rPr>
          <t>Rashmi:{*u|var:scPocketconstructionTCTmins|ft:com.lcs.wc.sourcing.LCSCostSheet|locked}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X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Y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Z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A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B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C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D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E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F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AG49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{locked}</t>
        </r>
      </text>
    </comment>
    <comment ref="C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{*du|var:section|dir:column|grouped|ft:com.lcs.wc.flexbom.FlexBOMLink|param:HRR~true|param:RR:150}</t>
        </r>
      </text>
    </comment>
    <comment ref="R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S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T51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{locked|dir:column|grouped|param:RR~150}</t>
        </r>
      </text>
    </comment>
    <comment ref="C206" authorId="1" shapeId="0">
      <text>
        <r>
          <rPr>
            <b/>
            <sz val="9"/>
            <color indexed="81"/>
            <rFont val="Tahoma"/>
            <family val="2"/>
          </rPr>
          <t>Naveen Kumar Shivarathri:</t>
        </r>
        <r>
          <rPr>
            <sz val="9"/>
            <color indexed="81"/>
            <rFont val="Tahoma"/>
            <family val="2"/>
          </rPr>
          <t xml:space="preserve">
{*u|var:section|dir:column|grouped|ft:com.lcs.wc.flexbom.FlexBOMLink|param:HRR~true|param:RR:150}</t>
        </r>
      </text>
    </comment>
    <comment ref="R206" authorId="1" shapeId="0">
      <text>
        <r>
          <rPr>
            <b/>
            <sz val="9"/>
            <color indexed="81"/>
            <rFont val="Tahoma"/>
            <charset val="1"/>
          </rPr>
          <t>Naveen Kumar Shivarathri:</t>
        </r>
        <r>
          <rPr>
            <sz val="9"/>
            <color indexed="81"/>
            <rFont val="Tahoma"/>
            <charset val="1"/>
          </rPr>
          <t xml:space="preserve">
{locked|grouped|dir:column|param:RR~15}</t>
        </r>
      </text>
    </comment>
    <comment ref="S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{*u|var:totalMatCost|dir:column|grouped|ft:com.lcs.wc.flexbom.FlexBOMLink|locked|param:RR~15}</t>
        </r>
      </text>
    </comment>
    <comment ref="T206" authorId="2" shapeId="0">
      <text>
        <r>
          <rPr>
            <b/>
            <sz val="9"/>
            <color indexed="81"/>
            <rFont val="Tahoma"/>
            <family val="2"/>
          </rPr>
          <t>Praveen Rajegowda:</t>
        </r>
        <r>
          <rPr>
            <sz val="9"/>
            <color indexed="81"/>
            <rFont val="Tahoma"/>
            <family val="2"/>
          </rPr>
          <t xml:space="preserve">
{*u|var:isAdditional|dir:column|grouped|ft:com.lcs.wc.flexbom.FlexBOMLink|locked|param:RR~15}</t>
        </r>
      </text>
    </comment>
  </commentList>
</comments>
</file>

<file path=xl/sharedStrings.xml><?xml version="1.0" encoding="utf-8"?>
<sst xmlns="http://schemas.openxmlformats.org/spreadsheetml/2006/main" count="4041" uniqueCount="1513">
  <si>
    <t>Vendor Cost Sheet Status</t>
  </si>
  <si>
    <t>Special upper construction</t>
  </si>
  <si>
    <t>Pocket construction</t>
  </si>
  <si>
    <t>Heel counter</t>
  </si>
  <si>
    <t>Construction type</t>
  </si>
  <si>
    <t>Outsole stitching</t>
  </si>
  <si>
    <t>Sockliner</t>
  </si>
  <si>
    <t>Lacing</t>
  </si>
  <si>
    <t>Packaging</t>
  </si>
  <si>
    <t>Draft</t>
  </si>
  <si>
    <t>None</t>
  </si>
  <si>
    <t>Yes</t>
  </si>
  <si>
    <t>No heel counter</t>
  </si>
  <si>
    <t>Board</t>
  </si>
  <si>
    <t>Cemented sockliner</t>
  </si>
  <si>
    <t>No lacing</t>
  </si>
  <si>
    <t>Normal packaging</t>
  </si>
  <si>
    <t>Requested</t>
  </si>
  <si>
    <t>Lining/Half bootie construction</t>
  </si>
  <si>
    <t>No</t>
  </si>
  <si>
    <t>TR heel counter</t>
  </si>
  <si>
    <t>Board Vulcanized</t>
  </si>
  <si>
    <t>1 x half stitching</t>
  </si>
  <si>
    <t>Drop-in sockliner</t>
  </si>
  <si>
    <t>Normal threading</t>
  </si>
  <si>
    <t>Special packaging</t>
  </si>
  <si>
    <t>Vendor Submitted</t>
  </si>
  <si>
    <t>Tongue wing construction</t>
  </si>
  <si>
    <t>Thermo sheet heel counter</t>
  </si>
  <si>
    <t>Cold cement foxing</t>
  </si>
  <si>
    <t>2 x half stitching</t>
  </si>
  <si>
    <t>No sockliner</t>
  </si>
  <si>
    <t>Additional spare laces</t>
  </si>
  <si>
    <t>In Negotiation</t>
  </si>
  <si>
    <t>Gusset/Bootie construction</t>
  </si>
  <si>
    <t>External heel counter (glued)</t>
  </si>
  <si>
    <t>Full Feather/Cage</t>
  </si>
  <si>
    <t>Full stitching</t>
  </si>
  <si>
    <t>Special lacing for cosmetic effects</t>
  </si>
  <si>
    <t>Negotiated</t>
  </si>
  <si>
    <t>Half Feather</t>
  </si>
  <si>
    <t>Rejected</t>
  </si>
  <si>
    <t>Moccasin</t>
  </si>
  <si>
    <t>Strobel</t>
  </si>
  <si>
    <t>Strobel &amp; half board</t>
  </si>
  <si>
    <t>Strobel &amp; board</t>
  </si>
  <si>
    <t>Strobel &amp; Toe Lasting</t>
  </si>
  <si>
    <t>Strobel forefoot &amp; heel stitching</t>
  </si>
  <si>
    <t>Strobel to midsole</t>
  </si>
  <si>
    <t>Strobel Vulcanized</t>
  </si>
  <si>
    <t>Top plate/Bottom plate construction</t>
  </si>
  <si>
    <t>Triple lasting</t>
  </si>
  <si>
    <t>Upper stitching to outsole</t>
  </si>
  <si>
    <t>Cost Sheet Milestone</t>
  </si>
  <si>
    <t>Total Upper</t>
  </si>
  <si>
    <t>Total Sockliner</t>
  </si>
  <si>
    <t>Total Insole</t>
  </si>
  <si>
    <t>Total Bottom</t>
  </si>
  <si>
    <t>Total Sundries</t>
  </si>
  <si>
    <t>Total Packaging</t>
  </si>
  <si>
    <t>BOM Override</t>
  </si>
  <si>
    <t>Labor Rate</t>
  </si>
  <si>
    <t>OH Rate</t>
  </si>
  <si>
    <t>LOH Rate</t>
  </si>
  <si>
    <t># Textile/ synthetic pcs.</t>
  </si>
  <si>
    <t># Textile/ synthetic pcs. TCT (mins)</t>
  </si>
  <si>
    <t># Textile/ synthetic pcs for single layer cutting</t>
  </si>
  <si>
    <t># Textile/ synthetic pcs for single layer cutting TCT (mins)</t>
  </si>
  <si>
    <t># Cut &amp; Prep LEATHER</t>
  </si>
  <si>
    <t># Cut &amp; Prep LEATHER TCT (mins)</t>
  </si>
  <si>
    <t># Pair Matching TCT (mins)</t>
  </si>
  <si>
    <t># of stitched upper pcs</t>
  </si>
  <si>
    <t># of stitched upper pcs TCT (mins)</t>
  </si>
  <si>
    <t># Stitch and Turn</t>
  </si>
  <si>
    <t># Stitch and Turn TCT (mins)</t>
  </si>
  <si>
    <t># Folded Edge</t>
  </si>
  <si>
    <t># Folded Edge TCT (mins)</t>
  </si>
  <si>
    <t>Special upper construction TCT (mins)</t>
  </si>
  <si>
    <t>Punch holes</t>
  </si>
  <si>
    <t>Punch holes TCT (mins)</t>
  </si>
  <si>
    <t>Metal eyelets</t>
  </si>
  <si>
    <t>Metal eyelets TCT (mins)</t>
  </si>
  <si>
    <t>Inserted lace loops</t>
  </si>
  <si>
    <t>Inserted lace loops TCT (mins)</t>
  </si>
  <si>
    <t>Stitched on lace loops</t>
  </si>
  <si>
    <t>Stitched on lace loops TCT (mins)</t>
  </si>
  <si>
    <t>Ghillies</t>
  </si>
  <si>
    <t>Ghillies TCT (mins)</t>
  </si>
  <si>
    <t>Lock stitch/overlock stitch/Flat Stitch</t>
  </si>
  <si>
    <t>Box stitch</t>
  </si>
  <si>
    <t>Triple stitch</t>
  </si>
  <si>
    <t>Triple stitch TCT (mins)</t>
  </si>
  <si>
    <t>English binding</t>
  </si>
  <si>
    <t>English binding TCT (mins)</t>
  </si>
  <si>
    <t>French binding</t>
  </si>
  <si>
    <t>French binding TCT (mins)</t>
  </si>
  <si>
    <t>No sew binding</t>
  </si>
  <si>
    <t>No sew binding TCT (mins)</t>
  </si>
  <si>
    <t>Pocket construction TCT (mins)</t>
  </si>
  <si>
    <t># Bottom pieces</t>
  </si>
  <si>
    <t># Bottom pieces TCT (mins)</t>
  </si>
  <si>
    <t># Recess points and # Emboss/deboss windows</t>
  </si>
  <si>
    <t># Recess points and # Emboss/deboss windows TCT (mins)</t>
  </si>
  <si>
    <t>Heel counter TCT (mins)</t>
  </si>
  <si>
    <t>Construction type TCT (mins)</t>
  </si>
  <si>
    <t>Outsole stitching TCT (mins)</t>
  </si>
  <si>
    <t>Sockliner TCT (mins)</t>
  </si>
  <si>
    <t># Attached components during assembly</t>
  </si>
  <si>
    <t># Attached components during assembly TCT (mins)</t>
  </si>
  <si>
    <t>Lacing TCT (mins)</t>
  </si>
  <si>
    <t>Packaging TCT (mins)</t>
  </si>
  <si>
    <t>Other Processes TCT (mins)</t>
  </si>
  <si>
    <t>Assembly</t>
  </si>
  <si>
    <t>Incoterms</t>
  </si>
  <si>
    <t>Incoterms Location</t>
  </si>
  <si>
    <t>Destination</t>
  </si>
  <si>
    <t>Quote Good From</t>
  </si>
  <si>
    <t>Quote Units</t>
  </si>
  <si>
    <t>Quote Good Until</t>
  </si>
  <si>
    <t>LOH Total</t>
  </si>
  <si>
    <t>Profit %</t>
  </si>
  <si>
    <t>First Sale Markup</t>
  </si>
  <si>
    <t>Vendor Cost Comments</t>
  </si>
  <si>
    <t>Footwear Cost Break Down</t>
  </si>
  <si>
    <t>PRODUCT SUMMARY</t>
  </si>
  <si>
    <t>SEASON:</t>
  </si>
  <si>
    <t>PLM PRODUCT #:</t>
  </si>
  <si>
    <t>COLORWAY NAME:</t>
  </si>
  <si>
    <t>USER EMAIL:</t>
  </si>
  <si>
    <t>COST SHEET MILESTONE:</t>
  </si>
  <si>
    <t>PRODUCT DESCRIPTION:</t>
  </si>
  <si>
    <t>COLORWAY #:</t>
  </si>
  <si>
    <t>REP COLORWAY FORECAST:</t>
  </si>
  <si>
    <t>COST SHEET NAME:</t>
  </si>
  <si>
    <t>GENDER:</t>
  </si>
  <si>
    <t>REPRESENTATIVE COLORWAY:</t>
  </si>
  <si>
    <t>DEVELOPMENT TYPE:</t>
  </si>
  <si>
    <t>COST SHEET NUMBER:</t>
  </si>
  <si>
    <t>AGE GROUP:</t>
  </si>
  <si>
    <t>SIZE RANGE:</t>
  </si>
  <si>
    <t>TARGET VENDOR QUOTE:</t>
  </si>
  <si>
    <t>SOURCING CONFIG:</t>
  </si>
  <si>
    <t>COSTING SIZE:</t>
  </si>
  <si>
    <t>COUNTRY OF ORIGIN</t>
  </si>
  <si>
    <t>SAMPLE SIZE:</t>
  </si>
  <si>
    <t>SPECIFICATION:</t>
  </si>
  <si>
    <t>COST SUMMARY</t>
  </si>
  <si>
    <t>COST INPUTS</t>
  </si>
  <si>
    <t>FOB BREAKDOWN</t>
  </si>
  <si>
    <t>LABOR &amp; OVERHEAD</t>
  </si>
  <si>
    <t>Total Materials</t>
  </si>
  <si>
    <t>UPPER PREPARATION</t>
  </si>
  <si>
    <t>Flex Attribtue Name (hide on doc)</t>
  </si>
  <si>
    <t>TCT (mins)</t>
  </si>
  <si>
    <t>STOCKFITTING</t>
  </si>
  <si>
    <t>BOM + Additional BOM</t>
  </si>
  <si>
    <t>ASSEMBLY</t>
  </si>
  <si>
    <t>Pair Matching</t>
  </si>
  <si>
    <t># attached components during assembly</t>
  </si>
  <si>
    <t>Upper Preparation</t>
  </si>
  <si>
    <t>Sum of Upper Preparation * LOH Rate</t>
  </si>
  <si>
    <t xml:space="preserve">Lacing system </t>
  </si>
  <si>
    <t>Stockfitting</t>
  </si>
  <si>
    <t>Sum of Stockfitting * LOH Rate</t>
  </si>
  <si>
    <t>Sum of Assembly * LOH Rate</t>
  </si>
  <si>
    <t>OTHER PROCESSES</t>
  </si>
  <si>
    <t>Other process</t>
  </si>
  <si>
    <t>Sum of Other process * LOH Rate</t>
  </si>
  <si>
    <t>Profit</t>
  </si>
  <si>
    <t>(LOH + Materials) * Tooling</t>
  </si>
  <si>
    <t>Tooling</t>
  </si>
  <si>
    <t>Types and # of special stitch</t>
  </si>
  <si>
    <t>Lock stitch/Overlock Stitch/Flat Stitch TCT (mins)</t>
  </si>
  <si>
    <t>Box Stitch TCT (mins)</t>
  </si>
  <si>
    <t>Types and # of binding</t>
  </si>
  <si>
    <t>Total Cycle Time</t>
  </si>
  <si>
    <t>BILL OF MATERIALS</t>
  </si>
  <si>
    <t>Section</t>
  </si>
  <si>
    <t>Component or Location</t>
  </si>
  <si>
    <t>Material ID</t>
  </si>
  <si>
    <t>Material Name</t>
  </si>
  <si>
    <t>Supplier</t>
  </si>
  <si>
    <t>Comment</t>
  </si>
  <si>
    <t>BOM UOM</t>
  </si>
  <si>
    <t>BOM Price</t>
  </si>
  <si>
    <t>Price OVR</t>
  </si>
  <si>
    <t>CIF</t>
  </si>
  <si>
    <t>Quantity</t>
  </si>
  <si>
    <t>Wastage %</t>
  </si>
  <si>
    <t>Total Mat Cost</t>
  </si>
  <si>
    <t>No. of total bottom pieces</t>
  </si>
  <si>
    <t>No. of attached components during assembly</t>
  </si>
  <si>
    <t>Bottom</t>
  </si>
  <si>
    <t>ADDITIONAL BOM ITEMS</t>
  </si>
  <si>
    <t>Id</t>
  </si>
  <si>
    <t>Complexity Group</t>
  </si>
  <si>
    <t>Complexity Criteria</t>
  </si>
  <si>
    <t>Criteria Details/ Quantity</t>
  </si>
  <si>
    <t>Cycle Time
in Mins</t>
  </si>
  <si>
    <t># Attached components during assembly0</t>
  </si>
  <si>
    <t># Attached components during assembly1</t>
  </si>
  <si>
    <t># Attached components during assembly2</t>
  </si>
  <si>
    <t># Attached components during assembly3</t>
  </si>
  <si>
    <t># Attached components during assembly4</t>
  </si>
  <si>
    <t># Attached components during assembly5</t>
  </si>
  <si>
    <t># Attached components during assembly6</t>
  </si>
  <si>
    <t># Attached components during assembly7</t>
  </si>
  <si>
    <t># Attached components during assembly8</t>
  </si>
  <si>
    <t># Attached components during assembly9</t>
  </si>
  <si>
    <t># Attached components during assembly10</t>
  </si>
  <si>
    <t># English (incl. piping)0</t>
  </si>
  <si>
    <t>Binding</t>
  </si>
  <si>
    <t># English (incl. piping)</t>
  </si>
  <si>
    <t>0</t>
  </si>
  <si>
    <t># English (incl. piping)1</t>
  </si>
  <si>
    <t># English (incl. piping)2</t>
  </si>
  <si>
    <t># English (incl. piping)3</t>
  </si>
  <si>
    <t># English (incl. piping)4</t>
  </si>
  <si>
    <t># English (incl. piping)5</t>
  </si>
  <si>
    <t># English (incl. piping)6</t>
  </si>
  <si>
    <t># English (incl. piping)7</t>
  </si>
  <si>
    <t># English (incl. piping)8</t>
  </si>
  <si>
    <t># English (incl. piping)9</t>
  </si>
  <si>
    <t># English (incl. piping)10</t>
  </si>
  <si>
    <t># English (incl. piping)11</t>
  </si>
  <si>
    <t># English (incl. piping)12</t>
  </si>
  <si>
    <t># English (incl. piping)13</t>
  </si>
  <si>
    <t># English (incl. piping)14</t>
  </si>
  <si>
    <t># English (incl. piping)15</t>
  </si>
  <si>
    <t># English (incl. piping)16</t>
  </si>
  <si>
    <t># English (incl. piping)17</t>
  </si>
  <si>
    <t># English (incl. piping)18</t>
  </si>
  <si>
    <t># English (incl. piping)19</t>
  </si>
  <si>
    <t># English (incl. piping)20</t>
  </si>
  <si>
    <t># English (incl. piping)21</t>
  </si>
  <si>
    <t># English (incl. piping)22</t>
  </si>
  <si>
    <t># English (incl. piping)23</t>
  </si>
  <si>
    <t># English (incl. piping)24</t>
  </si>
  <si>
    <t># English (incl. piping)25</t>
  </si>
  <si>
    <t># English (incl. piping)26</t>
  </si>
  <si>
    <t># English (incl. piping)27</t>
  </si>
  <si>
    <t># English (incl. piping)28</t>
  </si>
  <si>
    <t># English (incl. piping)29</t>
  </si>
  <si>
    <t># English (incl. piping)30</t>
  </si>
  <si>
    <t># English (incl. piping)31</t>
  </si>
  <si>
    <t># English (incl. piping)32</t>
  </si>
  <si>
    <t># English (incl. piping)33</t>
  </si>
  <si>
    <t># English (incl. piping)34</t>
  </si>
  <si>
    <t># English (incl. piping)35</t>
  </si>
  <si>
    <t># English (incl. piping)36</t>
  </si>
  <si>
    <t># English (incl. piping)37</t>
  </si>
  <si>
    <t># English (incl. piping)38</t>
  </si>
  <si>
    <t># English (incl. piping)39</t>
  </si>
  <si>
    <t># English (incl. piping)40</t>
  </si>
  <si>
    <t># English (incl. piping)41</t>
  </si>
  <si>
    <t># English (incl. piping)42</t>
  </si>
  <si>
    <t># English (incl. piping)43</t>
  </si>
  <si>
    <t># English (incl. piping)44</t>
  </si>
  <si>
    <t># English (incl. piping)45</t>
  </si>
  <si>
    <t># English (incl. piping)46</t>
  </si>
  <si>
    <t># English (incl. piping)47</t>
  </si>
  <si>
    <t># English (incl. piping)48</t>
  </si>
  <si>
    <t># English (incl. piping)49</t>
  </si>
  <si>
    <t># English (incl. piping)50</t>
  </si>
  <si>
    <t># English (incl. piping)51</t>
  </si>
  <si>
    <t># English (incl. piping)52</t>
  </si>
  <si>
    <t># English (incl. piping)53</t>
  </si>
  <si>
    <t># English (incl. piping)54</t>
  </si>
  <si>
    <t># English (incl. piping)55</t>
  </si>
  <si>
    <t># English (incl. piping)56</t>
  </si>
  <si>
    <t># English (incl. piping)57</t>
  </si>
  <si>
    <t># English (incl. piping)58</t>
  </si>
  <si>
    <t># English (incl. piping)59</t>
  </si>
  <si>
    <t># English (incl. piping)60</t>
  </si>
  <si>
    <t># French binding0</t>
  </si>
  <si>
    <t># French binding</t>
  </si>
  <si>
    <t># French binding1</t>
  </si>
  <si>
    <t># French binding2</t>
  </si>
  <si>
    <t># French binding3</t>
  </si>
  <si>
    <t># French binding4</t>
  </si>
  <si>
    <t># French binding5</t>
  </si>
  <si>
    <t># French binding6</t>
  </si>
  <si>
    <t># French binding7</t>
  </si>
  <si>
    <t># French binding8</t>
  </si>
  <si>
    <t># French binding9</t>
  </si>
  <si>
    <t># French binding10</t>
  </si>
  <si>
    <t># French binding11</t>
  </si>
  <si>
    <t># French binding12</t>
  </si>
  <si>
    <t># French binding13</t>
  </si>
  <si>
    <t># French binding14</t>
  </si>
  <si>
    <t># French binding15</t>
  </si>
  <si>
    <t># French binding16</t>
  </si>
  <si>
    <t># French binding17</t>
  </si>
  <si>
    <t># French binding18</t>
  </si>
  <si>
    <t># French binding19</t>
  </si>
  <si>
    <t># French binding20</t>
  </si>
  <si>
    <t># French binding21</t>
  </si>
  <si>
    <t># French binding22</t>
  </si>
  <si>
    <t># French binding23</t>
  </si>
  <si>
    <t># French binding24</t>
  </si>
  <si>
    <t># French binding25</t>
  </si>
  <si>
    <t># French binding26</t>
  </si>
  <si>
    <t># French binding27</t>
  </si>
  <si>
    <t># French binding28</t>
  </si>
  <si>
    <t># French binding29</t>
  </si>
  <si>
    <t># French binding30</t>
  </si>
  <si>
    <t># French binding31</t>
  </si>
  <si>
    <t># French binding32</t>
  </si>
  <si>
    <t># French binding33</t>
  </si>
  <si>
    <t># French binding34</t>
  </si>
  <si>
    <t># French binding35</t>
  </si>
  <si>
    <t># French binding36</t>
  </si>
  <si>
    <t># French binding37</t>
  </si>
  <si>
    <t># French binding38</t>
  </si>
  <si>
    <t># French binding39</t>
  </si>
  <si>
    <t># French binding40</t>
  </si>
  <si>
    <t># French binding41</t>
  </si>
  <si>
    <t># French binding42</t>
  </si>
  <si>
    <t># French binding43</t>
  </si>
  <si>
    <t># French binding44</t>
  </si>
  <si>
    <t># French binding45</t>
  </si>
  <si>
    <t># French binding46</t>
  </si>
  <si>
    <t># French binding47</t>
  </si>
  <si>
    <t># French binding48</t>
  </si>
  <si>
    <t># French binding49</t>
  </si>
  <si>
    <t># French binding50</t>
  </si>
  <si>
    <t># French binding51</t>
  </si>
  <si>
    <t># French binding52</t>
  </si>
  <si>
    <t># French binding53</t>
  </si>
  <si>
    <t># French binding54</t>
  </si>
  <si>
    <t># French binding55</t>
  </si>
  <si>
    <t># French binding56</t>
  </si>
  <si>
    <t># French binding57</t>
  </si>
  <si>
    <t># French binding58</t>
  </si>
  <si>
    <t># French binding59</t>
  </si>
  <si>
    <t># French binding60</t>
  </si>
  <si>
    <t># No sew binding0</t>
  </si>
  <si>
    <t># No sew binding</t>
  </si>
  <si>
    <t># No sew binding1</t>
  </si>
  <si>
    <t># No sew binding2</t>
  </si>
  <si>
    <t># No sew binding3</t>
  </si>
  <si>
    <t># No sew binding4</t>
  </si>
  <si>
    <t># No sew binding5</t>
  </si>
  <si>
    <t># No sew binding6</t>
  </si>
  <si>
    <t># No sew binding7</t>
  </si>
  <si>
    <t># No sew binding8</t>
  </si>
  <si>
    <t># No sew binding9</t>
  </si>
  <si>
    <t># No sew binding10</t>
  </si>
  <si>
    <t># No sew binding11</t>
  </si>
  <si>
    <t># No sew binding12</t>
  </si>
  <si>
    <t># No sew binding13</t>
  </si>
  <si>
    <t># No sew binding14</t>
  </si>
  <si>
    <t># No sew binding15</t>
  </si>
  <si>
    <t># No sew binding16</t>
  </si>
  <si>
    <t># No sew binding17</t>
  </si>
  <si>
    <t># No sew binding18</t>
  </si>
  <si>
    <t># No sew binding19</t>
  </si>
  <si>
    <t># No sew binding20</t>
  </si>
  <si>
    <t># No sew binding21</t>
  </si>
  <si>
    <t># No sew binding22</t>
  </si>
  <si>
    <t># No sew binding23</t>
  </si>
  <si>
    <t># No sew binding24</t>
  </si>
  <si>
    <t># No sew binding25</t>
  </si>
  <si>
    <t># No sew binding26</t>
  </si>
  <si>
    <t># No sew binding27</t>
  </si>
  <si>
    <t># No sew binding28</t>
  </si>
  <si>
    <t># No sew binding29</t>
  </si>
  <si>
    <t># No sew binding30</t>
  </si>
  <si>
    <t># No sew binding31</t>
  </si>
  <si>
    <t># No sew binding32</t>
  </si>
  <si>
    <t># No sew binding33</t>
  </si>
  <si>
    <t># No sew binding34</t>
  </si>
  <si>
    <t># No sew binding35</t>
  </si>
  <si>
    <t># No sew binding36</t>
  </si>
  <si>
    <t># No sew binding37</t>
  </si>
  <si>
    <t># No sew binding38</t>
  </si>
  <si>
    <t># No sew binding39</t>
  </si>
  <si>
    <t># No sew binding40</t>
  </si>
  <si>
    <t># No sew binding41</t>
  </si>
  <si>
    <t># No sew binding42</t>
  </si>
  <si>
    <t># No sew binding43</t>
  </si>
  <si>
    <t># No sew binding44</t>
  </si>
  <si>
    <t># No sew binding45</t>
  </si>
  <si>
    <t># No sew binding46</t>
  </si>
  <si>
    <t># No sew binding47</t>
  </si>
  <si>
    <t># No sew binding48</t>
  </si>
  <si>
    <t># No sew binding49</t>
  </si>
  <si>
    <t># No sew binding50</t>
  </si>
  <si>
    <t># No sew binding51</t>
  </si>
  <si>
    <t># No sew binding52</t>
  </si>
  <si>
    <t># No sew binding53</t>
  </si>
  <si>
    <t># No sew binding54</t>
  </si>
  <si>
    <t># No sew binding55</t>
  </si>
  <si>
    <t># No sew binding56</t>
  </si>
  <si>
    <t># No sew binding57</t>
  </si>
  <si>
    <t># No sew binding58</t>
  </si>
  <si>
    <t># No sew binding59</t>
  </si>
  <si>
    <t># No sew binding60</t>
  </si>
  <si>
    <t># Bottom pieces0</t>
  </si>
  <si>
    <t># Bottom pieces1</t>
  </si>
  <si>
    <t># Bottom pieces2</t>
  </si>
  <si>
    <t># Bottom pieces3</t>
  </si>
  <si>
    <t># Bottom pieces4</t>
  </si>
  <si>
    <t># Bottom pieces5</t>
  </si>
  <si>
    <t># Bottom pieces6</t>
  </si>
  <si>
    <t># Bottom pieces7</t>
  </si>
  <si>
    <t># Bottom pieces8</t>
  </si>
  <si>
    <t># Bottom pieces9</t>
  </si>
  <si>
    <t># Bottom pieces10</t>
  </si>
  <si>
    <t># Bottom pieces11</t>
  </si>
  <si>
    <t># Bottom pieces12</t>
  </si>
  <si>
    <t># Bottom pieces13</t>
  </si>
  <si>
    <t># Bottom pieces14</t>
  </si>
  <si>
    <t># Bottom pieces15</t>
  </si>
  <si>
    <t># Bottom pieces16</t>
  </si>
  <si>
    <t># Bottom pieces17</t>
  </si>
  <si>
    <t># Bottom pieces18</t>
  </si>
  <si>
    <t># Bottom pieces19</t>
  </si>
  <si>
    <t># Bottom pieces20</t>
  </si>
  <si>
    <t># Bottom pieces21</t>
  </si>
  <si>
    <t># Bottom pieces22</t>
  </si>
  <si>
    <t># Bottom pieces23</t>
  </si>
  <si>
    <t># Bottom pieces24</t>
  </si>
  <si>
    <t># Bottom pieces25</t>
  </si>
  <si>
    <t># Bottom pieces26</t>
  </si>
  <si>
    <t># Bottom pieces27</t>
  </si>
  <si>
    <t># Bottom pieces28</t>
  </si>
  <si>
    <t># Bottom pieces29</t>
  </si>
  <si>
    <t># Bottom pieces30</t>
  </si>
  <si>
    <t># Bottom pieces31</t>
  </si>
  <si>
    <t># Bottom pieces32</t>
  </si>
  <si>
    <t># Bottom pieces33</t>
  </si>
  <si>
    <t># Bottom pieces34</t>
  </si>
  <si>
    <t># Bottom pieces35</t>
  </si>
  <si>
    <t># Bottom pieces36</t>
  </si>
  <si>
    <t># Bottom pieces37</t>
  </si>
  <si>
    <t># Bottom pieces38</t>
  </si>
  <si>
    <t># Bottom pieces39</t>
  </si>
  <si>
    <t># Bottom pieces40</t>
  </si>
  <si>
    <t># Recess points and # Emboss/deboss windows0</t>
  </si>
  <si>
    <t># Recess points and # Emboss/deboss windows1</t>
  </si>
  <si>
    <t># Recess points and # Emboss/deboss windows2</t>
  </si>
  <si>
    <t># Recess points and # Emboss/deboss windows3</t>
  </si>
  <si>
    <t># Recess points and # Emboss/deboss windows4</t>
  </si>
  <si>
    <t># Recess points and # Emboss/deboss windows5</t>
  </si>
  <si>
    <t># Recess points and # Emboss/deboss windows6</t>
  </si>
  <si>
    <t># Recess points and # Emboss/deboss windows7</t>
  </si>
  <si>
    <t># Recess points and # Emboss/deboss windows8</t>
  </si>
  <si>
    <t># Recess points and # Emboss/deboss windows9</t>
  </si>
  <si>
    <t># Recess points and # Emboss/deboss windows10</t>
  </si>
  <si>
    <t># Recess points and # Emboss/deboss windows11</t>
  </si>
  <si>
    <t># Recess points and # Emboss/deboss windows12</t>
  </si>
  <si>
    <t># Recess points and # Emboss/deboss windows13</t>
  </si>
  <si>
    <t># Recess points and # Emboss/deboss windows14</t>
  </si>
  <si>
    <t># Recess points and # Emboss/deboss windows15</t>
  </si>
  <si>
    <t># Recess points and # Emboss/deboss windows16</t>
  </si>
  <si>
    <t># Recess points and # Emboss/deboss windows17</t>
  </si>
  <si>
    <t># Recess points and # Emboss/deboss windows18</t>
  </si>
  <si>
    <t># Recess points and # Emboss/deboss windows19</t>
  </si>
  <si>
    <t># Recess points and # Emboss/deboss windows20</t>
  </si>
  <si>
    <t># Recess points and # Emboss/deboss windows21</t>
  </si>
  <si>
    <t># Recess points and # Emboss/deboss windows22</t>
  </si>
  <si>
    <t># Recess points and # Emboss/deboss windows23</t>
  </si>
  <si>
    <t># Recess points and # Emboss/deboss windows24</t>
  </si>
  <si>
    <t># Recess points and # Emboss/deboss windows25</t>
  </si>
  <si>
    <t># Recess points and # Emboss/deboss windows26</t>
  </si>
  <si>
    <t># Recess points and # Emboss/deboss windows27</t>
  </si>
  <si>
    <t># Recess points and # Emboss/deboss windows28</t>
  </si>
  <si>
    <t># Recess points and # Emboss/deboss windows29</t>
  </si>
  <si>
    <t># Recess points and # Emboss/deboss windows30</t>
  </si>
  <si>
    <t># Recess points and # Emboss/deboss windows31</t>
  </si>
  <si>
    <t># Recess points and # Emboss/deboss windows32</t>
  </si>
  <si>
    <t># Recess points and # Emboss/deboss windows33</t>
  </si>
  <si>
    <t># Recess points and # Emboss/deboss windows34</t>
  </si>
  <si>
    <t># Recess points and # Emboss/deboss windows35</t>
  </si>
  <si>
    <t># Recess points and # Emboss/deboss windows36</t>
  </si>
  <si>
    <t># Recess points and # Emboss/deboss windows37</t>
  </si>
  <si>
    <t># Recess points and # Emboss/deboss windows38</t>
  </si>
  <si>
    <t># Recess points and # Emboss/deboss windows39</t>
  </si>
  <si>
    <t># Recess points and # Emboss/deboss windows40</t>
  </si>
  <si>
    <t># Recess points and # Emboss/deboss windows41</t>
  </si>
  <si>
    <t># Recess points and # Emboss/deboss windows42</t>
  </si>
  <si>
    <t># Recess points and # Emboss/deboss windows43</t>
  </si>
  <si>
    <t># Recess points and # Emboss/deboss windows44</t>
  </si>
  <si>
    <t># Recess points and # Emboss/deboss windows45</t>
  </si>
  <si>
    <t># Recess points and # Emboss/deboss windows46</t>
  </si>
  <si>
    <t># Recess points and # Emboss/deboss windows47</t>
  </si>
  <si>
    <t># Recess points and # Emboss/deboss windows48</t>
  </si>
  <si>
    <t># Recess points and # Emboss/deboss windows49</t>
  </si>
  <si>
    <t># Recess points and # Emboss/deboss windows50</t>
  </si>
  <si>
    <t># Recess points and # Emboss/deboss windows51</t>
  </si>
  <si>
    <t># Recess points and # Emboss/deboss windows52</t>
  </si>
  <si>
    <t># Recess points and # Emboss/deboss windows53</t>
  </si>
  <si>
    <t># Recess points and # Emboss/deboss windows54</t>
  </si>
  <si>
    <t># Recess points and # Emboss/deboss windows55</t>
  </si>
  <si>
    <t># Recess points and # Emboss/deboss windows56</t>
  </si>
  <si>
    <t># Recess points and # Emboss/deboss windows57</t>
  </si>
  <si>
    <t># Recess points and # Emboss/deboss windows58</t>
  </si>
  <si>
    <t># Recess points and # Emboss/deboss windows59</t>
  </si>
  <si>
    <t># Recess points and # Emboss/deboss windows60</t>
  </si>
  <si>
    <t># Recess points and # Emboss/deboss windows61</t>
  </si>
  <si>
    <t># Recess points and # Emboss/deboss windows62</t>
  </si>
  <si>
    <t># Recess points and # Emboss/deboss windows63</t>
  </si>
  <si>
    <t># Recess points and # Emboss/deboss windows64</t>
  </si>
  <si>
    <t># Recess points and # Emboss/deboss windows65</t>
  </si>
  <si>
    <t># Recess points and # Emboss/deboss windows66</t>
  </si>
  <si>
    <t># Recess points and # Emboss/deboss windows67</t>
  </si>
  <si>
    <t># Recess points and # Emboss/deboss windows68</t>
  </si>
  <si>
    <t># Recess points and # Emboss/deboss windows69</t>
  </si>
  <si>
    <t># Recess points and # Emboss/deboss windows70</t>
  </si>
  <si>
    <t># Recess points and # Emboss/deboss windows71</t>
  </si>
  <si>
    <t># Recess points and # Emboss/deboss windows72</t>
  </si>
  <si>
    <t># Recess points and # Emboss/deboss windows73</t>
  </si>
  <si>
    <t># Recess points and # Emboss/deboss windows74</t>
  </si>
  <si>
    <t># Recess points and # Emboss/deboss windows75</t>
  </si>
  <si>
    <t># Recess points and # Emboss/deboss windows76</t>
  </si>
  <si>
    <t># Recess points and # Emboss/deboss windows77</t>
  </si>
  <si>
    <t># Recess points and # Emboss/deboss windows78</t>
  </si>
  <si>
    <t># Recess points and # Emboss/deboss windows79</t>
  </si>
  <si>
    <t># Recess points and # Emboss/deboss windows80</t>
  </si>
  <si>
    <t># Recess points and # Emboss/deboss windows81</t>
  </si>
  <si>
    <t># Recess points and # Emboss/deboss windows82</t>
  </si>
  <si>
    <t># Recess points and # Emboss/deboss windows83</t>
  </si>
  <si>
    <t># Recess points and # Emboss/deboss windows84</t>
  </si>
  <si>
    <t># Recess points and # Emboss/deboss windows85</t>
  </si>
  <si>
    <t># Recess points and # Emboss/deboss windows86</t>
  </si>
  <si>
    <t># Recess points and # Emboss/deboss windows87</t>
  </si>
  <si>
    <t># Recess points and # Emboss/deboss windows88</t>
  </si>
  <si>
    <t># Recess points and # Emboss/deboss windows89</t>
  </si>
  <si>
    <t># Recess points and # Emboss/deboss windows90</t>
  </si>
  <si>
    <t># Recess points and # Emboss/deboss windows91</t>
  </si>
  <si>
    <t># Recess points and # Emboss/deboss windows92</t>
  </si>
  <si>
    <t># Recess points and # Emboss/deboss windows93</t>
  </si>
  <si>
    <t># Recess points and # Emboss/deboss windows94</t>
  </si>
  <si>
    <t># Recess points and # Emboss/deboss windows95</t>
  </si>
  <si>
    <t># Recess points and # Emboss/deboss windows96</t>
  </si>
  <si>
    <t># Recess points and # Emboss/deboss windows97</t>
  </si>
  <si>
    <t># Recess points and # Emboss/deboss windows98</t>
  </si>
  <si>
    <t># Recess points and # Emboss/deboss windows99</t>
  </si>
  <si>
    <t>Construction typeBoard</t>
  </si>
  <si>
    <t>Construction typeBoard Vulcanized</t>
  </si>
  <si>
    <t>Construction typeCold cement foxing</t>
  </si>
  <si>
    <t>Construction typeFull Feather/Cage</t>
  </si>
  <si>
    <t>Construction typeHalf Feather</t>
  </si>
  <si>
    <t>Construction typeMoccasin</t>
  </si>
  <si>
    <t>Construction typeStrobel</t>
  </si>
  <si>
    <t>Construction typeStrobel &amp; board</t>
  </si>
  <si>
    <t>Construction typeStrobel &amp; Toe Lasting</t>
  </si>
  <si>
    <t>Construction typeStrobel forefoot &amp; heel stitching</t>
  </si>
  <si>
    <t>Construction typeStrobel to midsole</t>
  </si>
  <si>
    <t>Construction typeStrobel Vulcanized</t>
  </si>
  <si>
    <t>Construction typeTop plate/Bottom plate construction</t>
  </si>
  <si>
    <t>Construction typeTriple lasting</t>
  </si>
  <si>
    <t>Construction typeUpper stitching to outsole</t>
  </si>
  <si>
    <t># Cut &amp; Prep LEATHER0</t>
  </si>
  <si>
    <t>Cut &amp; Prep</t>
  </si>
  <si>
    <t># Cut &amp; Prep LEATHER1</t>
  </si>
  <si>
    <t># Cut &amp; Prep LEATHER2</t>
  </si>
  <si>
    <t># Cut &amp; Prep LEATHER3</t>
  </si>
  <si>
    <t># Cut &amp; Prep LEATHER4</t>
  </si>
  <si>
    <t># Cut &amp; Prep LEATHER5</t>
  </si>
  <si>
    <t># Cut &amp; Prep LEATHER6</t>
  </si>
  <si>
    <t># Cut &amp; Prep LEATHER7</t>
  </si>
  <si>
    <t># Cut &amp; Prep LEATHER8</t>
  </si>
  <si>
    <t># Cut &amp; Prep LEATHER9</t>
  </si>
  <si>
    <t># Cut &amp; Prep LEATHER10</t>
  </si>
  <si>
    <t># Cut &amp; Prep LEATHER11</t>
  </si>
  <si>
    <t># Cut &amp; Prep LEATHER12</t>
  </si>
  <si>
    <t># Cut &amp; Prep LEATHER13</t>
  </si>
  <si>
    <t># Cut &amp; Prep LEATHER14</t>
  </si>
  <si>
    <t># Cut &amp; Prep LEATHER15</t>
  </si>
  <si>
    <t># Cut &amp; Prep LEATHER16</t>
  </si>
  <si>
    <t># Cut &amp; Prep LEATHER17</t>
  </si>
  <si>
    <t># Cut &amp; Prep LEATHER18</t>
  </si>
  <si>
    <t># Cut &amp; Prep LEATHER19</t>
  </si>
  <si>
    <t># Cut &amp; Prep LEATHER20</t>
  </si>
  <si>
    <t># Cut &amp; Prep LEATHER21</t>
  </si>
  <si>
    <t># Cut &amp; Prep LEATHER22</t>
  </si>
  <si>
    <t># Cut &amp; Prep LEATHER23</t>
  </si>
  <si>
    <t># Cut &amp; Prep LEATHER24</t>
  </si>
  <si>
    <t># Cut &amp; Prep LEATHER25</t>
  </si>
  <si>
    <t># Cut &amp; Prep LEATHER26</t>
  </si>
  <si>
    <t># Cut &amp; Prep LEATHER27</t>
  </si>
  <si>
    <t># Cut &amp; Prep LEATHER28</t>
  </si>
  <si>
    <t># Cut &amp; Prep LEATHER29</t>
  </si>
  <si>
    <t># Cut &amp; Prep LEATHER30</t>
  </si>
  <si>
    <t># Cut &amp; Prep LEATHER31</t>
  </si>
  <si>
    <t># Cut &amp; Prep LEATHER32</t>
  </si>
  <si>
    <t># Cut &amp; Prep LEATHER33</t>
  </si>
  <si>
    <t># Cut &amp; Prep LEATHER34</t>
  </si>
  <si>
    <t># Cut &amp; Prep LEATHER35</t>
  </si>
  <si>
    <t># Cut &amp; Prep LEATHER36</t>
  </si>
  <si>
    <t># Cut &amp; Prep LEATHER37</t>
  </si>
  <si>
    <t># Cut &amp; Prep LEATHER38</t>
  </si>
  <si>
    <t># Cut &amp; Prep LEATHER39</t>
  </si>
  <si>
    <t># Cut &amp; Prep LEATHER40</t>
  </si>
  <si>
    <t># Cut &amp; Prep LEATHER41</t>
  </si>
  <si>
    <t># Cut &amp; Prep LEATHER42</t>
  </si>
  <si>
    <t># Cut &amp; Prep LEATHER43</t>
  </si>
  <si>
    <t># Cut &amp; Prep LEATHER44</t>
  </si>
  <si>
    <t># Cut &amp; Prep LEATHER45</t>
  </si>
  <si>
    <t># Cut &amp; Prep LEATHER46</t>
  </si>
  <si>
    <t># Cut &amp; Prep LEATHER47</t>
  </si>
  <si>
    <t># Cut &amp; Prep LEATHER48</t>
  </si>
  <si>
    <t># Cut &amp; Prep LEATHER49</t>
  </si>
  <si>
    <t># Cut &amp; Prep LEATHER50</t>
  </si>
  <si>
    <t># Cut &amp; Prep NON-LEATHER0</t>
  </si>
  <si>
    <t># Cut &amp; Prep NON-LEATHER</t>
  </si>
  <si>
    <t># Cut &amp; Prep NON-LEATHER1</t>
  </si>
  <si>
    <t># Cut &amp; Prep NON-LEATHER2</t>
  </si>
  <si>
    <t># Cut &amp; Prep NON-LEATHER3</t>
  </si>
  <si>
    <t># Cut &amp; Prep NON-LEATHER4</t>
  </si>
  <si>
    <t># Cut &amp; Prep NON-LEATHER5</t>
  </si>
  <si>
    <t># Cut &amp; Prep NON-LEATHER6</t>
  </si>
  <si>
    <t># Cut &amp; Prep NON-LEATHER7</t>
  </si>
  <si>
    <t># Cut &amp; Prep NON-LEATHER8</t>
  </si>
  <si>
    <t># Cut &amp; Prep NON-LEATHER9</t>
  </si>
  <si>
    <t># Cut &amp; Prep NON-LEATHER10</t>
  </si>
  <si>
    <t># Cut &amp; Prep NON-LEATHER11</t>
  </si>
  <si>
    <t># Cut &amp; Prep NON-LEATHER12</t>
  </si>
  <si>
    <t># Cut &amp; Prep NON-LEATHER13</t>
  </si>
  <si>
    <t># Cut &amp; Prep NON-LEATHER14</t>
  </si>
  <si>
    <t># Cut &amp; Prep NON-LEATHER15</t>
  </si>
  <si>
    <t># Cut &amp; Prep NON-LEATHER16</t>
  </si>
  <si>
    <t># Cut &amp; Prep NON-LEATHER17</t>
  </si>
  <si>
    <t># Cut &amp; Prep NON-LEATHER18</t>
  </si>
  <si>
    <t># Cut &amp; Prep NON-LEATHER19</t>
  </si>
  <si>
    <t># Cut &amp; Prep NON-LEATHER20</t>
  </si>
  <si>
    <t># Cut &amp; Prep NON-LEATHER21</t>
  </si>
  <si>
    <t># Cut &amp; Prep NON-LEATHER22</t>
  </si>
  <si>
    <t># Cut &amp; Prep NON-LEATHER23</t>
  </si>
  <si>
    <t># Cut &amp; Prep NON-LEATHER24</t>
  </si>
  <si>
    <t># Cut &amp; Prep NON-LEATHER25</t>
  </si>
  <si>
    <t># Cut &amp; Prep NON-LEATHER26</t>
  </si>
  <si>
    <t># Cut &amp; Prep NON-LEATHER27</t>
  </si>
  <si>
    <t># Cut &amp; Prep NON-LEATHER28</t>
  </si>
  <si>
    <t># Cut &amp; Prep NON-LEATHER29</t>
  </si>
  <si>
    <t># Cut &amp; Prep NON-LEATHER30</t>
  </si>
  <si>
    <t># Cut &amp; Prep NON-LEATHER31</t>
  </si>
  <si>
    <t># Cut &amp; Prep NON-LEATHER32</t>
  </si>
  <si>
    <t># Cut &amp; Prep NON-LEATHER33</t>
  </si>
  <si>
    <t># Cut &amp; Prep NON-LEATHER34</t>
  </si>
  <si>
    <t># Cut &amp; Prep NON-LEATHER35</t>
  </si>
  <si>
    <t># Cut &amp; Prep NON-LEATHER36</t>
  </si>
  <si>
    <t># Cut &amp; Prep NON-LEATHER37</t>
  </si>
  <si>
    <t># Cut &amp; Prep NON-LEATHER38</t>
  </si>
  <si>
    <t># Cut &amp; Prep NON-LEATHER39</t>
  </si>
  <si>
    <t># Cut &amp; Prep NON-LEATHER40</t>
  </si>
  <si>
    <t># Cut &amp; Prep NON-LEATHER41</t>
  </si>
  <si>
    <t># Cut &amp; Prep NON-LEATHER42</t>
  </si>
  <si>
    <t># Cut &amp; Prep NON-LEATHER43</t>
  </si>
  <si>
    <t># Cut &amp; Prep NON-LEATHER44</t>
  </si>
  <si>
    <t># Cut &amp; Prep NON-LEATHER45</t>
  </si>
  <si>
    <t># Cut &amp; Prep NON-LEATHER46</t>
  </si>
  <si>
    <t># Cut &amp; Prep NON-LEATHER47</t>
  </si>
  <si>
    <t># Cut &amp; Prep NON-LEATHER48</t>
  </si>
  <si>
    <t># Cut &amp; Prep NON-LEATHER49</t>
  </si>
  <si>
    <t># Cut &amp; Prep NON-LEATHER50</t>
  </si>
  <si>
    <t># Cut &amp; Prep NON-LEATHER51</t>
  </si>
  <si>
    <t># Cut &amp; Prep NON-LEATHER52</t>
  </si>
  <si>
    <t># Cut &amp; Prep NON-LEATHER53</t>
  </si>
  <si>
    <t># Cut &amp; Prep NON-LEATHER54</t>
  </si>
  <si>
    <t># Cut &amp; Prep NON-LEATHER55</t>
  </si>
  <si>
    <t># Cut &amp; Prep NON-LEATHER56</t>
  </si>
  <si>
    <t># Cut &amp; Prep NON-LEATHER57</t>
  </si>
  <si>
    <t># Cut &amp; Prep NON-LEATHER58</t>
  </si>
  <si>
    <t># Cut &amp; Prep NON-LEATHER59</t>
  </si>
  <si>
    <t># Cut &amp; Prep NON-LEATHER60</t>
  </si>
  <si>
    <t># Cut &amp; Prep NON-LEATHER61</t>
  </si>
  <si>
    <t># Cut &amp; Prep NON-LEATHER62</t>
  </si>
  <si>
    <t># Cut &amp; Prep NON-LEATHER63</t>
  </si>
  <si>
    <t># Cut &amp; Prep NON-LEATHER64</t>
  </si>
  <si>
    <t># Cut &amp; Prep NON-LEATHER65</t>
  </si>
  <si>
    <t># Cut &amp; Prep NON-LEATHER66</t>
  </si>
  <si>
    <t># Cut &amp; Prep NON-LEATHER67</t>
  </si>
  <si>
    <t># Cut &amp; Prep NON-LEATHER68</t>
  </si>
  <si>
    <t># Cut &amp; Prep NON-LEATHER69</t>
  </si>
  <si>
    <t># Cut &amp; Prep NON-LEATHER70</t>
  </si>
  <si>
    <t># Cut &amp; Prep NON-LEATHER71</t>
  </si>
  <si>
    <t># Cut &amp; Prep NON-LEATHER72</t>
  </si>
  <si>
    <t># Cut &amp; Prep NON-LEATHER73</t>
  </si>
  <si>
    <t># Cut &amp; Prep NON-LEATHER74</t>
  </si>
  <si>
    <t># Cut &amp; Prep NON-LEATHER75</t>
  </si>
  <si>
    <t># Cut &amp; Prep NON-LEATHER76</t>
  </si>
  <si>
    <t># Cut &amp; Prep NON-LEATHER77</t>
  </si>
  <si>
    <t># Cut &amp; Prep NON-LEATHER78</t>
  </si>
  <si>
    <t># Cut &amp; Prep NON-LEATHER79</t>
  </si>
  <si>
    <t># Cut &amp; Prep NON-LEATHER80</t>
  </si>
  <si>
    <t># Cut &amp; Prep NON-LEATHER81</t>
  </si>
  <si>
    <t># Cut &amp; Prep NON-LEATHER82</t>
  </si>
  <si>
    <t># Cut &amp; Prep NON-LEATHER83</t>
  </si>
  <si>
    <t># Cut &amp; Prep NON-LEATHER84</t>
  </si>
  <si>
    <t># Cut &amp; Prep NON-LEATHER85</t>
  </si>
  <si>
    <t># Cut &amp; Prep NON-LEATHER86</t>
  </si>
  <si>
    <t># Cut &amp; Prep NON-LEATHER87</t>
  </si>
  <si>
    <t># Cut &amp; Prep NON-LEATHER88</t>
  </si>
  <si>
    <t># Cut &amp; Prep NON-LEATHER89</t>
  </si>
  <si>
    <t># Cut &amp; Prep NON-LEATHER90</t>
  </si>
  <si>
    <t># Cut &amp; Prep NON-LEATHER91</t>
  </si>
  <si>
    <t># Cut &amp; Prep NON-LEATHER92</t>
  </si>
  <si>
    <t># Cut &amp; Prep NON-LEATHER93</t>
  </si>
  <si>
    <t># Cut &amp; Prep NON-LEATHER94</t>
  </si>
  <si>
    <t># Cut &amp; Prep NON-LEATHER95</t>
  </si>
  <si>
    <t># Cut &amp; Prep NON-LEATHER96</t>
  </si>
  <si>
    <t># Cut &amp; Prep NON-LEATHER97</t>
  </si>
  <si>
    <t># Cut &amp; Prep NON-LEATHER98</t>
  </si>
  <si>
    <t># Cut &amp; Prep NON-LEATHER99</t>
  </si>
  <si>
    <t># Cut &amp; Prep NON-LEATHER100</t>
  </si>
  <si>
    <t># Cut &amp; Prep Non-leather pieces for single layer cutting0</t>
  </si>
  <si>
    <t># Cut &amp; Prep Non-leather pieces for single layer cutting</t>
  </si>
  <si>
    <t># Cut &amp; Prep Non-leather pieces for single layer cutting1</t>
  </si>
  <si>
    <t># Cut &amp; Prep Non-leather pieces for single layer cutting2</t>
  </si>
  <si>
    <t># Cut &amp; Prep Non-leather pieces for single layer cutting3</t>
  </si>
  <si>
    <t># Cut &amp; Prep Non-leather pieces for single layer cutting4</t>
  </si>
  <si>
    <t># Cut &amp; Prep Non-leather pieces for single layer cutting5</t>
  </si>
  <si>
    <t># Cut &amp; Prep Non-leather pieces for single layer cutting6</t>
  </si>
  <si>
    <t># Cut &amp; Prep Non-leather pieces for single layer cutting7</t>
  </si>
  <si>
    <t># Cut &amp; Prep Non-leather pieces for single layer cutting8</t>
  </si>
  <si>
    <t># Cut &amp; Prep Non-leather pieces for single layer cutting9</t>
  </si>
  <si>
    <t># Cut &amp; Prep Non-leather pieces for single layer cutting10</t>
  </si>
  <si>
    <t># Cut &amp; Prep Non-leather pieces for single layer cutting11</t>
  </si>
  <si>
    <t># Cut &amp; Prep Non-leather pieces for single layer cutting12</t>
  </si>
  <si>
    <t># Cut &amp; Prep Non-leather pieces for single layer cutting13</t>
  </si>
  <si>
    <t># Cut &amp; Prep Non-leather pieces for single layer cutting14</t>
  </si>
  <si>
    <t># Cut &amp; Prep Non-leather pieces for single layer cutting15</t>
  </si>
  <si>
    <t># Cut &amp; Prep Non-leather pieces for single layer cutting16</t>
  </si>
  <si>
    <t># Cut &amp; Prep Non-leather pieces for single layer cutting17</t>
  </si>
  <si>
    <t># Cut &amp; Prep Non-leather pieces for single layer cutting18</t>
  </si>
  <si>
    <t># Cut &amp; Prep Non-leather pieces for single layer cutting19</t>
  </si>
  <si>
    <t># Cut &amp; Prep Non-leather pieces for single layer cutting20</t>
  </si>
  <si>
    <t>Heel counterExternal heel counter (glued)</t>
  </si>
  <si>
    <t>Heel counterNo heel counter</t>
  </si>
  <si>
    <t>Heel counterThermo sheet heel counter</t>
  </si>
  <si>
    <t>Heel counterTR heel counter</t>
  </si>
  <si>
    <t>LacingAdditional spare laces</t>
  </si>
  <si>
    <t>LacingNo lacing</t>
  </si>
  <si>
    <t>LacingNormal threading</t>
  </si>
  <si>
    <t>LacingSpecial lacing for cosmetic effects</t>
  </si>
  <si>
    <t># Ghillies0</t>
  </si>
  <si>
    <t>Lacing system &amp; quantity</t>
  </si>
  <si>
    <t># Ghillies</t>
  </si>
  <si>
    <t># Ghillies1</t>
  </si>
  <si>
    <t># Ghillies2</t>
  </si>
  <si>
    <t># Ghillies3</t>
  </si>
  <si>
    <t># Ghillies4</t>
  </si>
  <si>
    <t># Ghillies5</t>
  </si>
  <si>
    <t># Ghillies6</t>
  </si>
  <si>
    <t># Ghillies7</t>
  </si>
  <si>
    <t># Ghillies8</t>
  </si>
  <si>
    <t># Ghillies9</t>
  </si>
  <si>
    <t># Ghillies10</t>
  </si>
  <si>
    <t># Ghillies11</t>
  </si>
  <si>
    <t># Ghillies12</t>
  </si>
  <si>
    <t># Ghillies13</t>
  </si>
  <si>
    <t># Ghillies14</t>
  </si>
  <si>
    <t># Ghillies15</t>
  </si>
  <si>
    <t># Ghillies16</t>
  </si>
  <si>
    <t># Ghillies17</t>
  </si>
  <si>
    <t># Ghillies18</t>
  </si>
  <si>
    <t># Ghillies19</t>
  </si>
  <si>
    <t># Ghillies20</t>
  </si>
  <si>
    <t># Ghillies21</t>
  </si>
  <si>
    <t># Ghillies22</t>
  </si>
  <si>
    <t># Ghillies23</t>
  </si>
  <si>
    <t># Ghillies24</t>
  </si>
  <si>
    <t># Ghillies25</t>
  </si>
  <si>
    <t># Ghillies26</t>
  </si>
  <si>
    <t># Ghillies27</t>
  </si>
  <si>
    <t># Ghillies28</t>
  </si>
  <si>
    <t># Ghillies29</t>
  </si>
  <si>
    <t># Ghillies30</t>
  </si>
  <si>
    <t># Ghillies31</t>
  </si>
  <si>
    <t># Ghillies32</t>
  </si>
  <si>
    <t># Ghillies33</t>
  </si>
  <si>
    <t># Ghillies34</t>
  </si>
  <si>
    <t># Ghillies35</t>
  </si>
  <si>
    <t># Ghillies36</t>
  </si>
  <si>
    <t># Ghillies37</t>
  </si>
  <si>
    <t># Ghillies38</t>
  </si>
  <si>
    <t># Ghillies39</t>
  </si>
  <si>
    <t># Ghillies40</t>
  </si>
  <si>
    <t># Lace loops (inserted)0</t>
  </si>
  <si>
    <t># Lace loops (inserted)</t>
  </si>
  <si>
    <t># Lace loops (inserted)1</t>
  </si>
  <si>
    <t># Lace loops (inserted)2</t>
  </si>
  <si>
    <t># Lace loops (inserted)3</t>
  </si>
  <si>
    <t># Lace loops (inserted)4</t>
  </si>
  <si>
    <t># Lace loops (inserted)5</t>
  </si>
  <si>
    <t># Lace loops (inserted)6</t>
  </si>
  <si>
    <t># Lace loops (inserted)7</t>
  </si>
  <si>
    <t># Lace loops (inserted)8</t>
  </si>
  <si>
    <t># Lace loops (inserted)9</t>
  </si>
  <si>
    <t># Lace loops (inserted)10</t>
  </si>
  <si>
    <t># Lace loops (inserted)11</t>
  </si>
  <si>
    <t># Lace loops (inserted)12</t>
  </si>
  <si>
    <t># Lace loops (inserted)13</t>
  </si>
  <si>
    <t># Lace loops (inserted)14</t>
  </si>
  <si>
    <t># Lace loops (inserted)15</t>
  </si>
  <si>
    <t># Lace loops (inserted)16</t>
  </si>
  <si>
    <t># Lace loops (inserted)17</t>
  </si>
  <si>
    <t># Lace loops (inserted)18</t>
  </si>
  <si>
    <t># Lace loops (inserted)19</t>
  </si>
  <si>
    <t># Lace loops (inserted)20</t>
  </si>
  <si>
    <t># Lace loops (inserted)21</t>
  </si>
  <si>
    <t># Lace loops (inserted)22</t>
  </si>
  <si>
    <t># Lace loops (inserted)23</t>
  </si>
  <si>
    <t># Lace loops (inserted)24</t>
  </si>
  <si>
    <t># Lace loops (inserted)25</t>
  </si>
  <si>
    <t># Lace loops (inserted)26</t>
  </si>
  <si>
    <t># Lace loops (inserted)27</t>
  </si>
  <si>
    <t># Lace loops (inserted)28</t>
  </si>
  <si>
    <t># Lace loops (inserted)29</t>
  </si>
  <si>
    <t># Lace loops (inserted)30</t>
  </si>
  <si>
    <t># Lace loops (inserted)31</t>
  </si>
  <si>
    <t># Lace loops (inserted)32</t>
  </si>
  <si>
    <t># Lace loops (inserted)33</t>
  </si>
  <si>
    <t># Lace loops (inserted)34</t>
  </si>
  <si>
    <t># Lace loops (inserted)35</t>
  </si>
  <si>
    <t># Lace loops (inserted)36</t>
  </si>
  <si>
    <t># Lace loops (inserted)37</t>
  </si>
  <si>
    <t># Lace loops (inserted)38</t>
  </si>
  <si>
    <t># Lace loops (inserted)39</t>
  </si>
  <si>
    <t># Lace loops (inserted)40</t>
  </si>
  <si>
    <t># Lace loops (stitched on)0</t>
  </si>
  <si>
    <t># Lace loops (stitched on)</t>
  </si>
  <si>
    <t># Lace loops (stitched on)1</t>
  </si>
  <si>
    <t># Lace loops (stitched on)2</t>
  </si>
  <si>
    <t># Lace loops (stitched on)3</t>
  </si>
  <si>
    <t># Lace loops (stitched on)4</t>
  </si>
  <si>
    <t># Lace loops (stitched on)5</t>
  </si>
  <si>
    <t># Lace loops (stitched on)6</t>
  </si>
  <si>
    <t># Lace loops (stitched on)7</t>
  </si>
  <si>
    <t># Lace loops (stitched on)8</t>
  </si>
  <si>
    <t># Lace loops (stitched on)9</t>
  </si>
  <si>
    <t># Lace loops (stitched on)10</t>
  </si>
  <si>
    <t># Lace loops (stitched on)11</t>
  </si>
  <si>
    <t># Lace loops (stitched on)12</t>
  </si>
  <si>
    <t># Lace loops (stitched on)13</t>
  </si>
  <si>
    <t># Lace loops (stitched on)14</t>
  </si>
  <si>
    <t># Lace loops (stitched on)15</t>
  </si>
  <si>
    <t># Lace loops (stitched on)16</t>
  </si>
  <si>
    <t># Lace loops (stitched on)17</t>
  </si>
  <si>
    <t># Lace loops (stitched on)18</t>
  </si>
  <si>
    <t># Lace loops (stitched on)19</t>
  </si>
  <si>
    <t># Lace loops (stitched on)20</t>
  </si>
  <si>
    <t># Lace loops (stitched on)21</t>
  </si>
  <si>
    <t># Lace loops (stitched on)22</t>
  </si>
  <si>
    <t># Lace loops (stitched on)23</t>
  </si>
  <si>
    <t># Lace loops (stitched on)24</t>
  </si>
  <si>
    <t># Lace loops (stitched on)25</t>
  </si>
  <si>
    <t># Lace loops (stitched on)26</t>
  </si>
  <si>
    <t># Lace loops (stitched on)27</t>
  </si>
  <si>
    <t># Lace loops (stitched on)28</t>
  </si>
  <si>
    <t># Lace loops (stitched on)29</t>
  </si>
  <si>
    <t># Lace loops (stitched on)30</t>
  </si>
  <si>
    <t># Lace loops (stitched on)31</t>
  </si>
  <si>
    <t># Lace loops (stitched on)32</t>
  </si>
  <si>
    <t># Lace loops (stitched on)33</t>
  </si>
  <si>
    <t># Lace loops (stitched on)34</t>
  </si>
  <si>
    <t># Lace loops (stitched on)35</t>
  </si>
  <si>
    <t># Lace loops (stitched on)36</t>
  </si>
  <si>
    <t># Lace loops (stitched on)37</t>
  </si>
  <si>
    <t># Lace loops (stitched on)38</t>
  </si>
  <si>
    <t># Lace loops (stitched on)39</t>
  </si>
  <si>
    <t># Lace loops (stitched on)40</t>
  </si>
  <si>
    <t># Metal eyelets0</t>
  </si>
  <si>
    <t># Metal eyelets</t>
  </si>
  <si>
    <t># Metal eyelets1</t>
  </si>
  <si>
    <t># Metal eyelets2</t>
  </si>
  <si>
    <t># Metal eyelets3</t>
  </si>
  <si>
    <t># Metal eyelets4</t>
  </si>
  <si>
    <t># Metal eyelets5</t>
  </si>
  <si>
    <t># Metal eyelets6</t>
  </si>
  <si>
    <t># Metal eyelets7</t>
  </si>
  <si>
    <t># Metal eyelets8</t>
  </si>
  <si>
    <t># Metal eyelets9</t>
  </si>
  <si>
    <t># Metal eyelets10</t>
  </si>
  <si>
    <t># Metal eyelets11</t>
  </si>
  <si>
    <t># Metal eyelets12</t>
  </si>
  <si>
    <t># Metal eyelets13</t>
  </si>
  <si>
    <t># Metal eyelets14</t>
  </si>
  <si>
    <t># Metal eyelets15</t>
  </si>
  <si>
    <t># Metal eyelets16</t>
  </si>
  <si>
    <t># Metal eyelets17</t>
  </si>
  <si>
    <t># Metal eyelets18</t>
  </si>
  <si>
    <t># Metal eyelets19</t>
  </si>
  <si>
    <t># Metal eyelets20</t>
  </si>
  <si>
    <t># Metal eyelets21</t>
  </si>
  <si>
    <t># Metal eyelets22</t>
  </si>
  <si>
    <t># Metal eyelets23</t>
  </si>
  <si>
    <t># Metal eyelets24</t>
  </si>
  <si>
    <t># Metal eyelets25</t>
  </si>
  <si>
    <t># Metal eyelets26</t>
  </si>
  <si>
    <t># Metal eyelets27</t>
  </si>
  <si>
    <t># Metal eyelets28</t>
  </si>
  <si>
    <t># Metal eyelets29</t>
  </si>
  <si>
    <t># Metal eyelets30</t>
  </si>
  <si>
    <t># Metal eyelets31</t>
  </si>
  <si>
    <t># Metal eyelets32</t>
  </si>
  <si>
    <t># Metal eyelets33</t>
  </si>
  <si>
    <t># Metal eyelets34</t>
  </si>
  <si>
    <t># Metal eyelets35</t>
  </si>
  <si>
    <t># Metal eyelets36</t>
  </si>
  <si>
    <t># Metal eyelets37</t>
  </si>
  <si>
    <t># Metal eyelets38</t>
  </si>
  <si>
    <t># Metal eyelets39</t>
  </si>
  <si>
    <t># Metal eyelets40</t>
  </si>
  <si>
    <t># Punch holes0</t>
  </si>
  <si>
    <t># Punch holes</t>
  </si>
  <si>
    <t># Punch holes1</t>
  </si>
  <si>
    <t># Punch holes2</t>
  </si>
  <si>
    <t># Punch holes3</t>
  </si>
  <si>
    <t># Punch holes4</t>
  </si>
  <si>
    <t># Punch holes5</t>
  </si>
  <si>
    <t># Punch holes6</t>
  </si>
  <si>
    <t># Punch holes7</t>
  </si>
  <si>
    <t># Punch holes8</t>
  </si>
  <si>
    <t># Punch holes9</t>
  </si>
  <si>
    <t># Punch holes10</t>
  </si>
  <si>
    <t># Punch holes11</t>
  </si>
  <si>
    <t># Punch holes12</t>
  </si>
  <si>
    <t># Punch holes13</t>
  </si>
  <si>
    <t># Punch holes14</t>
  </si>
  <si>
    <t># Punch holes15</t>
  </si>
  <si>
    <t># Punch holes16</t>
  </si>
  <si>
    <t># Punch holes17</t>
  </si>
  <si>
    <t># Punch holes18</t>
  </si>
  <si>
    <t># Punch holes19</t>
  </si>
  <si>
    <t># Punch holes20</t>
  </si>
  <si>
    <t># Punch holes21</t>
  </si>
  <si>
    <t># Punch holes22</t>
  </si>
  <si>
    <t># Punch holes23</t>
  </si>
  <si>
    <t># Punch holes24</t>
  </si>
  <si>
    <t># Punch holes25</t>
  </si>
  <si>
    <t># Punch holes26</t>
  </si>
  <si>
    <t># Punch holes27</t>
  </si>
  <si>
    <t># Punch holes28</t>
  </si>
  <si>
    <t># Punch holes29</t>
  </si>
  <si>
    <t># Punch holes30</t>
  </si>
  <si>
    <t># Punch holes31</t>
  </si>
  <si>
    <t># Punch holes32</t>
  </si>
  <si>
    <t># Punch holes33</t>
  </si>
  <si>
    <t># Punch holes34</t>
  </si>
  <si>
    <t># Punch holes35</t>
  </si>
  <si>
    <t># Punch holes36</t>
  </si>
  <si>
    <t># Punch holes37</t>
  </si>
  <si>
    <t># Punch holes38</t>
  </si>
  <si>
    <t># Punch holes39</t>
  </si>
  <si>
    <t># Punch holes40</t>
  </si>
  <si>
    <t>Lacing systemNo holes</t>
  </si>
  <si>
    <t>Lacing system</t>
  </si>
  <si>
    <t>No holes</t>
  </si>
  <si>
    <t># Box stitch0</t>
  </si>
  <si>
    <t>No. of special stitches</t>
  </si>
  <si>
    <t># Box stitch</t>
  </si>
  <si>
    <t># Box stitch1</t>
  </si>
  <si>
    <t># Box stitch2</t>
  </si>
  <si>
    <t># Box stitch3</t>
  </si>
  <si>
    <t># Box stitch4</t>
  </si>
  <si>
    <t># Box stitch5</t>
  </si>
  <si>
    <t># Box stitch6</t>
  </si>
  <si>
    <t># Box stitch7</t>
  </si>
  <si>
    <t># Box stitch8</t>
  </si>
  <si>
    <t># Box stitch9</t>
  </si>
  <si>
    <t># Box stitch10</t>
  </si>
  <si>
    <t># Box stitch11</t>
  </si>
  <si>
    <t># Box stitch12</t>
  </si>
  <si>
    <t># Box stitch13</t>
  </si>
  <si>
    <t># Box stitch14</t>
  </si>
  <si>
    <t># Box stitch15</t>
  </si>
  <si>
    <t># Box stitch16</t>
  </si>
  <si>
    <t># Box stitch17</t>
  </si>
  <si>
    <t># Box stitch18</t>
  </si>
  <si>
    <t># Box stitch19</t>
  </si>
  <si>
    <t># Box stitch20</t>
  </si>
  <si>
    <t># Box stitch21</t>
  </si>
  <si>
    <t># Box stitch22</t>
  </si>
  <si>
    <t># Box stitch23</t>
  </si>
  <si>
    <t># Box stitch24</t>
  </si>
  <si>
    <t># Box stitch25</t>
  </si>
  <si>
    <t># Box stitch26</t>
  </si>
  <si>
    <t># Box stitch27</t>
  </si>
  <si>
    <t># Box stitch28</t>
  </si>
  <si>
    <t># Box stitch29</t>
  </si>
  <si>
    <t># Box stitch30</t>
  </si>
  <si>
    <t># Box stitch31</t>
  </si>
  <si>
    <t># Box stitch32</t>
  </si>
  <si>
    <t># Box stitch33</t>
  </si>
  <si>
    <t># Box stitch34</t>
  </si>
  <si>
    <t># Box stitch35</t>
  </si>
  <si>
    <t># Box stitch36</t>
  </si>
  <si>
    <t># Box stitch37</t>
  </si>
  <si>
    <t># Box stitch38</t>
  </si>
  <si>
    <t># Box stitch39</t>
  </si>
  <si>
    <t># Box stitch40</t>
  </si>
  <si>
    <t># Box stitch41</t>
  </si>
  <si>
    <t># Box stitch42</t>
  </si>
  <si>
    <t># Box stitch43</t>
  </si>
  <si>
    <t># Box stitch44</t>
  </si>
  <si>
    <t># Box stitch45</t>
  </si>
  <si>
    <t># Box stitch46</t>
  </si>
  <si>
    <t># Box stitch47</t>
  </si>
  <si>
    <t># Box stitch48</t>
  </si>
  <si>
    <t># Box stitch49</t>
  </si>
  <si>
    <t># Box stitch50</t>
  </si>
  <si>
    <t># Box stitch51</t>
  </si>
  <si>
    <t># Box stitch52</t>
  </si>
  <si>
    <t># Box stitch53</t>
  </si>
  <si>
    <t># Box stitch54</t>
  </si>
  <si>
    <t># Box stitch55</t>
  </si>
  <si>
    <t># Box stitch56</t>
  </si>
  <si>
    <t># Box stitch57</t>
  </si>
  <si>
    <t># Box stitch58</t>
  </si>
  <si>
    <t># Box stitch59</t>
  </si>
  <si>
    <t># Box stitch60</t>
  </si>
  <si>
    <t># Flat stitch/lapseam0</t>
  </si>
  <si>
    <t># Flat stitch/lapseam</t>
  </si>
  <si>
    <t># Flat stitch/lapseam1</t>
  </si>
  <si>
    <t># Flat stitch/lapseam2</t>
  </si>
  <si>
    <t># Flat stitch/lapseam3</t>
  </si>
  <si>
    <t># Flat stitch/lapseam4</t>
  </si>
  <si>
    <t># Flat stitch/lapseam5</t>
  </si>
  <si>
    <t># Flat stitch/lapseam6</t>
  </si>
  <si>
    <t># Flat stitch/lapseam7</t>
  </si>
  <si>
    <t># Flat stitch/lapseam8</t>
  </si>
  <si>
    <t># Flat stitch/lapseam9</t>
  </si>
  <si>
    <t># Flat stitch/lapseam10</t>
  </si>
  <si>
    <t># Flat stitch/lapseam11</t>
  </si>
  <si>
    <t># Flat stitch/lapseam12</t>
  </si>
  <si>
    <t># Flat stitch/lapseam13</t>
  </si>
  <si>
    <t># Flat stitch/lapseam14</t>
  </si>
  <si>
    <t># Flat stitch/lapseam15</t>
  </si>
  <si>
    <t># Flat stitch/lapseam16</t>
  </si>
  <si>
    <t># Flat stitch/lapseam17</t>
  </si>
  <si>
    <t># Flat stitch/lapseam18</t>
  </si>
  <si>
    <t># Flat stitch/lapseam19</t>
  </si>
  <si>
    <t># Flat stitch/lapseam20</t>
  </si>
  <si>
    <t># Flat stitch/lapseam21</t>
  </si>
  <si>
    <t># Flat stitch/lapseam22</t>
  </si>
  <si>
    <t># Flat stitch/lapseam23</t>
  </si>
  <si>
    <t># Flat stitch/lapseam24</t>
  </si>
  <si>
    <t># Flat stitch/lapseam25</t>
  </si>
  <si>
    <t># Flat stitch/lapseam26</t>
  </si>
  <si>
    <t># Flat stitch/lapseam27</t>
  </si>
  <si>
    <t># Flat stitch/lapseam28</t>
  </si>
  <si>
    <t># Flat stitch/lapseam29</t>
  </si>
  <si>
    <t># Flat stitch/lapseam30</t>
  </si>
  <si>
    <t># Flat stitch/lapseam31</t>
  </si>
  <si>
    <t># Flat stitch/lapseam32</t>
  </si>
  <si>
    <t># Flat stitch/lapseam33</t>
  </si>
  <si>
    <t># Flat stitch/lapseam34</t>
  </si>
  <si>
    <t># Flat stitch/lapseam35</t>
  </si>
  <si>
    <t># Flat stitch/lapseam36</t>
  </si>
  <si>
    <t># Flat stitch/lapseam37</t>
  </si>
  <si>
    <t># Flat stitch/lapseam38</t>
  </si>
  <si>
    <t># Flat stitch/lapseam39</t>
  </si>
  <si>
    <t># Flat stitch/lapseam40</t>
  </si>
  <si>
    <t># Flat stitch/lapseam41</t>
  </si>
  <si>
    <t># Flat stitch/lapseam42</t>
  </si>
  <si>
    <t># Flat stitch/lapseam43</t>
  </si>
  <si>
    <t># Flat stitch/lapseam44</t>
  </si>
  <si>
    <t># Flat stitch/lapseam45</t>
  </si>
  <si>
    <t># Flat stitch/lapseam46</t>
  </si>
  <si>
    <t># Flat stitch/lapseam47</t>
  </si>
  <si>
    <t># Flat stitch/lapseam48</t>
  </si>
  <si>
    <t># Flat stitch/lapseam49</t>
  </si>
  <si>
    <t># Flat stitch/lapseam50</t>
  </si>
  <si>
    <t># Flat stitch/lapseam51</t>
  </si>
  <si>
    <t># Flat stitch/lapseam52</t>
  </si>
  <si>
    <t># Flat stitch/lapseam53</t>
  </si>
  <si>
    <t># Flat stitch/lapseam54</t>
  </si>
  <si>
    <t># Flat stitch/lapseam55</t>
  </si>
  <si>
    <t># Flat stitch/lapseam56</t>
  </si>
  <si>
    <t># Flat stitch/lapseam57</t>
  </si>
  <si>
    <t># Flat stitch/lapseam58</t>
  </si>
  <si>
    <t># Flat stitch/lapseam59</t>
  </si>
  <si>
    <t># Flat stitch/lapseam60</t>
  </si>
  <si>
    <t># Lock stitch/overlock stitch/Flat Stitch0</t>
  </si>
  <si>
    <t># Lock stitch/overlock stitch/Flat Stitch</t>
  </si>
  <si>
    <t># Lock stitch/overlock stitch/Flat Stitch1</t>
  </si>
  <si>
    <t># Lock stitch/overlock stitch/Flat Stitch2</t>
  </si>
  <si>
    <t># Lock stitch/overlock stitch/Flat Stitch3</t>
  </si>
  <si>
    <t># Lock stitch/overlock stitch/Flat Stitch4</t>
  </si>
  <si>
    <t># Lock stitch/overlock stitch/Flat Stitch5</t>
  </si>
  <si>
    <t># Lock stitch/overlock stitch/Flat Stitch6</t>
  </si>
  <si>
    <t># Lock stitch/overlock stitch/Flat Stitch7</t>
  </si>
  <si>
    <t># Lock stitch/overlock stitch/Flat Stitch8</t>
  </si>
  <si>
    <t># Lock stitch/overlock stitch/Flat Stitch9</t>
  </si>
  <si>
    <t># Lock stitch/overlock stitch/Flat Stitch10</t>
  </si>
  <si>
    <t># Lock stitch/overlock stitch/Flat Stitch11</t>
  </si>
  <si>
    <t># Lock stitch/overlock stitch/Flat Stitch12</t>
  </si>
  <si>
    <t># Lock stitch/overlock stitch/Flat Stitch13</t>
  </si>
  <si>
    <t># Lock stitch/overlock stitch/Flat Stitch14</t>
  </si>
  <si>
    <t># Lock stitch/overlock stitch/Flat Stitch15</t>
  </si>
  <si>
    <t># Lock stitch/overlock stitch/Flat Stitch16</t>
  </si>
  <si>
    <t># Lock stitch/overlock stitch/Flat Stitch17</t>
  </si>
  <si>
    <t># Lock stitch/overlock stitch/Flat Stitch18</t>
  </si>
  <si>
    <t># Lock stitch/overlock stitch/Flat Stitch19</t>
  </si>
  <si>
    <t># Lock stitch/overlock stitch/Flat Stitch20</t>
  </si>
  <si>
    <t># Lock stitch/overlock stitch/Flat Stitch21</t>
  </si>
  <si>
    <t># Lock stitch/overlock stitch/Flat Stitch22</t>
  </si>
  <si>
    <t># Lock stitch/overlock stitch/Flat Stitch23</t>
  </si>
  <si>
    <t># Lock stitch/overlock stitch/Flat Stitch24</t>
  </si>
  <si>
    <t># Lock stitch/overlock stitch/Flat Stitch25</t>
  </si>
  <si>
    <t># Lock stitch/overlock stitch/Flat Stitch26</t>
  </si>
  <si>
    <t># Lock stitch/overlock stitch/Flat Stitch27</t>
  </si>
  <si>
    <t># Lock stitch/overlock stitch/Flat Stitch28</t>
  </si>
  <si>
    <t># Lock stitch/overlock stitch/Flat Stitch29</t>
  </si>
  <si>
    <t># Lock stitch/overlock stitch/Flat Stitch30</t>
  </si>
  <si>
    <t># Lock stitch/overlock stitch/Flat Stitch31</t>
  </si>
  <si>
    <t># Lock stitch/overlock stitch/Flat Stitch32</t>
  </si>
  <si>
    <t># Lock stitch/overlock stitch/Flat Stitch33</t>
  </si>
  <si>
    <t># Lock stitch/overlock stitch/Flat Stitch34</t>
  </si>
  <si>
    <t># Lock stitch/overlock stitch/Flat Stitch35</t>
  </si>
  <si>
    <t># Lock stitch/overlock stitch/Flat Stitch36</t>
  </si>
  <si>
    <t># Lock stitch/overlock stitch/Flat Stitch37</t>
  </si>
  <si>
    <t># Lock stitch/overlock stitch/Flat Stitch38</t>
  </si>
  <si>
    <t># Lock stitch/overlock stitch/Flat Stitch39</t>
  </si>
  <si>
    <t># Lock stitch/overlock stitch/Flat Stitch40</t>
  </si>
  <si>
    <t># Lock stitch/overlock stitch/Flat Stitch41</t>
  </si>
  <si>
    <t># Lock stitch/overlock stitch/Flat Stitch42</t>
  </si>
  <si>
    <t># Lock stitch/overlock stitch/Flat Stitch43</t>
  </si>
  <si>
    <t># Lock stitch/overlock stitch/Flat Stitch44</t>
  </si>
  <si>
    <t># Lock stitch/overlock stitch/Flat Stitch45</t>
  </si>
  <si>
    <t># Lock stitch/overlock stitch/Flat Stitch46</t>
  </si>
  <si>
    <t># Lock stitch/overlock stitch/Flat Stitch47</t>
  </si>
  <si>
    <t># Lock stitch/overlock stitch/Flat Stitch48</t>
  </si>
  <si>
    <t># Lock stitch/overlock stitch/Flat Stitch49</t>
  </si>
  <si>
    <t># Lock stitch/overlock stitch/Flat Stitch50</t>
  </si>
  <si>
    <t># Lock stitch/overlock stitch/Flat Stitch51</t>
  </si>
  <si>
    <t># Lock stitch/overlock stitch/Flat Stitch52</t>
  </si>
  <si>
    <t># Lock stitch/overlock stitch/Flat Stitch53</t>
  </si>
  <si>
    <t># Lock stitch/overlock stitch/Flat Stitch54</t>
  </si>
  <si>
    <t># Lock stitch/overlock stitch/Flat Stitch55</t>
  </si>
  <si>
    <t># Lock stitch/overlock stitch/Flat Stitch56</t>
  </si>
  <si>
    <t># Lock stitch/overlock stitch/Flat Stitch57</t>
  </si>
  <si>
    <t># Lock stitch/overlock stitch/Flat Stitch58</t>
  </si>
  <si>
    <t># Lock stitch/overlock stitch/Flat Stitch59</t>
  </si>
  <si>
    <t># Lock stitch/overlock stitch/Flat Stitch60</t>
  </si>
  <si>
    <t># Triple stitch0</t>
  </si>
  <si>
    <t># Triple stitch</t>
  </si>
  <si>
    <t># Triple stitch1</t>
  </si>
  <si>
    <t># Triple stitch2</t>
  </si>
  <si>
    <t># Triple stitch3</t>
  </si>
  <si>
    <t># Triple stitch4</t>
  </si>
  <si>
    <t># Triple stitch5</t>
  </si>
  <si>
    <t># Triple stitch6</t>
  </si>
  <si>
    <t># Triple stitch7</t>
  </si>
  <si>
    <t># Triple stitch8</t>
  </si>
  <si>
    <t># Triple stitch9</t>
  </si>
  <si>
    <t># Triple stitch10</t>
  </si>
  <si>
    <t># Triple stitch11</t>
  </si>
  <si>
    <t># Triple stitch12</t>
  </si>
  <si>
    <t># Triple stitch13</t>
  </si>
  <si>
    <t># Triple stitch14</t>
  </si>
  <si>
    <t># Triple stitch15</t>
  </si>
  <si>
    <t># Triple stitch16</t>
  </si>
  <si>
    <t># Triple stitch17</t>
  </si>
  <si>
    <t># Triple stitch18</t>
  </si>
  <si>
    <t># Triple stitch19</t>
  </si>
  <si>
    <t># Triple stitch20</t>
  </si>
  <si>
    <t># Triple stitch21</t>
  </si>
  <si>
    <t># Triple stitch22</t>
  </si>
  <si>
    <t># Triple stitch23</t>
  </si>
  <si>
    <t># Triple stitch24</t>
  </si>
  <si>
    <t># Triple stitch25</t>
  </si>
  <si>
    <t># Triple stitch26</t>
  </si>
  <si>
    <t># Triple stitch27</t>
  </si>
  <si>
    <t># Triple stitch28</t>
  </si>
  <si>
    <t># Triple stitch29</t>
  </si>
  <si>
    <t># Triple stitch30</t>
  </si>
  <si>
    <t># Triple stitch31</t>
  </si>
  <si>
    <t># Triple stitch32</t>
  </si>
  <si>
    <t># Triple stitch33</t>
  </si>
  <si>
    <t># Triple stitch34</t>
  </si>
  <si>
    <t># Triple stitch35</t>
  </si>
  <si>
    <t># Triple stitch36</t>
  </si>
  <si>
    <t># Triple stitch37</t>
  </si>
  <si>
    <t># Triple stitch38</t>
  </si>
  <si>
    <t># Triple stitch39</t>
  </si>
  <si>
    <t># Triple stitch40</t>
  </si>
  <si>
    <t># Triple stitch41</t>
  </si>
  <si>
    <t># Triple stitch42</t>
  </si>
  <si>
    <t># Triple stitch43</t>
  </si>
  <si>
    <t># Triple stitch44</t>
  </si>
  <si>
    <t># Triple stitch45</t>
  </si>
  <si>
    <t># Triple stitch46</t>
  </si>
  <si>
    <t># Triple stitch47</t>
  </si>
  <si>
    <t># Triple stitch48</t>
  </si>
  <si>
    <t># Triple stitch49</t>
  </si>
  <si>
    <t># Triple stitch50</t>
  </si>
  <si>
    <t># Triple stitch51</t>
  </si>
  <si>
    <t># Triple stitch52</t>
  </si>
  <si>
    <t># Triple stitch53</t>
  </si>
  <si>
    <t># Triple stitch54</t>
  </si>
  <si>
    <t># Triple stitch55</t>
  </si>
  <si>
    <t># Triple stitch56</t>
  </si>
  <si>
    <t># Triple stitch57</t>
  </si>
  <si>
    <t># Triple stitch58</t>
  </si>
  <si>
    <t># Triple stitch59</t>
  </si>
  <si>
    <t># Triple stitch60</t>
  </si>
  <si>
    <t>Outsole stitchingNone</t>
  </si>
  <si>
    <t>Outsole stitching1 x half stitching</t>
  </si>
  <si>
    <t>Outsole stitching2 x half stitching</t>
  </si>
  <si>
    <t>Outsole stitchingFull stitching</t>
  </si>
  <si>
    <t>PackagingNormal packaging</t>
  </si>
  <si>
    <t>PackagingSpecial packaging</t>
  </si>
  <si>
    <t>SocklinerCemented sockliner</t>
  </si>
  <si>
    <t>SocklinerDrop-in sockliner</t>
  </si>
  <si>
    <t>SocklinerNo sockliner</t>
  </si>
  <si>
    <t>Special upper constructionNone</t>
  </si>
  <si>
    <t>Special upper constructionGusset/Bootie construction</t>
  </si>
  <si>
    <t>Special upper constructionLining/Half bootie construction</t>
  </si>
  <si>
    <t>Special upper constructionTongue wing construction</t>
  </si>
  <si>
    <t># Folded edges0</t>
  </si>
  <si>
    <t>Stitching</t>
  </si>
  <si>
    <t># Folded edges</t>
  </si>
  <si>
    <t># Folded edges1</t>
  </si>
  <si>
    <t># Folded edges2</t>
  </si>
  <si>
    <t># Folded edges3</t>
  </si>
  <si>
    <t># Folded edges4</t>
  </si>
  <si>
    <t># Folded edges5</t>
  </si>
  <si>
    <t># Folded edges6</t>
  </si>
  <si>
    <t># Folded edges7</t>
  </si>
  <si>
    <t># Folded edges8</t>
  </si>
  <si>
    <t># Folded edges9</t>
  </si>
  <si>
    <t># Folded edges10</t>
  </si>
  <si>
    <t># Folded edges11</t>
  </si>
  <si>
    <t># Folded edges12</t>
  </si>
  <si>
    <t># Folded edges13</t>
  </si>
  <si>
    <t># Folded edges14</t>
  </si>
  <si>
    <t># Folded edges15</t>
  </si>
  <si>
    <t># Folded edges16</t>
  </si>
  <si>
    <t># Folded edges17</t>
  </si>
  <si>
    <t># Folded edges18</t>
  </si>
  <si>
    <t># Folded edges19</t>
  </si>
  <si>
    <t># Folded edges20</t>
  </si>
  <si>
    <t># Folded edges21</t>
  </si>
  <si>
    <t># Folded edges22</t>
  </si>
  <si>
    <t># Folded edges23</t>
  </si>
  <si>
    <t># Folded edges24</t>
  </si>
  <si>
    <t># Folded edges25</t>
  </si>
  <si>
    <t># Folded edges26</t>
  </si>
  <si>
    <t># Folded edges27</t>
  </si>
  <si>
    <t># Folded edges28</t>
  </si>
  <si>
    <t># Folded edges29</t>
  </si>
  <si>
    <t># Folded edges30</t>
  </si>
  <si>
    <t># Stitch &amp; turns0</t>
  </si>
  <si>
    <t># Stitch &amp; turns</t>
  </si>
  <si>
    <t># Stitch &amp; turns1</t>
  </si>
  <si>
    <t># Stitch &amp; turns2</t>
  </si>
  <si>
    <t># Stitch &amp; turns3</t>
  </si>
  <si>
    <t># Stitch &amp; turns4</t>
  </si>
  <si>
    <t># Stitch &amp; turns5</t>
  </si>
  <si>
    <t># Stitch &amp; turns6</t>
  </si>
  <si>
    <t># Stitch &amp; turns7</t>
  </si>
  <si>
    <t># Stitch &amp; turns8</t>
  </si>
  <si>
    <t># Stitch &amp; turns9</t>
  </si>
  <si>
    <t># Stitch &amp; turns10</t>
  </si>
  <si>
    <t># Stitch &amp; turns11</t>
  </si>
  <si>
    <t># Stitch &amp; turns12</t>
  </si>
  <si>
    <t># Stitch &amp; turns13</t>
  </si>
  <si>
    <t># Stitch &amp; turns14</t>
  </si>
  <si>
    <t># Stitch &amp; turns15</t>
  </si>
  <si>
    <t># Stitch &amp; turns16</t>
  </si>
  <si>
    <t># Stitch &amp; turns17</t>
  </si>
  <si>
    <t># Stitch &amp; turns18</t>
  </si>
  <si>
    <t># Stitch &amp; turns19</t>
  </si>
  <si>
    <t># Stitch &amp; turns20</t>
  </si>
  <si>
    <t># Stitch &amp; turns21</t>
  </si>
  <si>
    <t># Stitch &amp; turns22</t>
  </si>
  <si>
    <t># Stitch &amp; turns23</t>
  </si>
  <si>
    <t># Stitch &amp; turns24</t>
  </si>
  <si>
    <t># Stitch &amp; turns25</t>
  </si>
  <si>
    <t># Stitch &amp; turns26</t>
  </si>
  <si>
    <t># Stitch &amp; turns27</t>
  </si>
  <si>
    <t># Stitch &amp; turns28</t>
  </si>
  <si>
    <t># Stitch &amp; turns29</t>
  </si>
  <si>
    <t># Stitch &amp; turns30</t>
  </si>
  <si>
    <t># Stitched upper pieces0</t>
  </si>
  <si>
    <t># Stitched upper pieces</t>
  </si>
  <si>
    <t># Stitched upper pieces1</t>
  </si>
  <si>
    <t># Stitched upper pieces2</t>
  </si>
  <si>
    <t># Stitched upper pieces3</t>
  </si>
  <si>
    <t># Stitched upper pieces4</t>
  </si>
  <si>
    <t># Stitched upper pieces5</t>
  </si>
  <si>
    <t># Stitched upper pieces6</t>
  </si>
  <si>
    <t># Stitched upper pieces7</t>
  </si>
  <si>
    <t># Stitched upper pieces8</t>
  </si>
  <si>
    <t># Stitched upper pieces9</t>
  </si>
  <si>
    <t># Stitched upper pieces10</t>
  </si>
  <si>
    <t># Stitched upper pieces11</t>
  </si>
  <si>
    <t># Stitched upper pieces12</t>
  </si>
  <si>
    <t># Stitched upper pieces13</t>
  </si>
  <si>
    <t># Stitched upper pieces14</t>
  </si>
  <si>
    <t># Stitched upper pieces15</t>
  </si>
  <si>
    <t># Stitched upper pieces16</t>
  </si>
  <si>
    <t># Stitched upper pieces17</t>
  </si>
  <si>
    <t># Stitched upper pieces18</t>
  </si>
  <si>
    <t># Stitched upper pieces19</t>
  </si>
  <si>
    <t># Stitched upper pieces20</t>
  </si>
  <si>
    <t># Stitched upper pieces21</t>
  </si>
  <si>
    <t># Stitched upper pieces22</t>
  </si>
  <si>
    <t># Stitched upper pieces23</t>
  </si>
  <si>
    <t># Stitched upper pieces24</t>
  </si>
  <si>
    <t># Stitched upper pieces25</t>
  </si>
  <si>
    <t># Stitched upper pieces26</t>
  </si>
  <si>
    <t># Stitched upper pieces27</t>
  </si>
  <si>
    <t># Stitched upper pieces28</t>
  </si>
  <si>
    <t># Stitched upper pieces29</t>
  </si>
  <si>
    <t># Stitched upper pieces30</t>
  </si>
  <si>
    <t># Stitched upper pieces31</t>
  </si>
  <si>
    <t># Stitched upper pieces32</t>
  </si>
  <si>
    <t># Stitched upper pieces33</t>
  </si>
  <si>
    <t># Stitched upper pieces34</t>
  </si>
  <si>
    <t># Stitched upper pieces35</t>
  </si>
  <si>
    <t># Stitched upper pieces36</t>
  </si>
  <si>
    <t># Stitched upper pieces37</t>
  </si>
  <si>
    <t># Stitched upper pieces38</t>
  </si>
  <si>
    <t># Stitched upper pieces39</t>
  </si>
  <si>
    <t># Stitched upper pieces40</t>
  </si>
  <si>
    <t># Stitched upper pieces41</t>
  </si>
  <si>
    <t># Stitched upper pieces42</t>
  </si>
  <si>
    <t># Stitched upper pieces43</t>
  </si>
  <si>
    <t># Stitched upper pieces44</t>
  </si>
  <si>
    <t># Stitched upper pieces45</t>
  </si>
  <si>
    <t># Stitched upper pieces46</t>
  </si>
  <si>
    <t># Stitched upper pieces47</t>
  </si>
  <si>
    <t># Stitched upper pieces48</t>
  </si>
  <si>
    <t># Stitched upper pieces49</t>
  </si>
  <si>
    <t># Stitched upper pieces50</t>
  </si>
  <si>
    <t># Stitched upper pieces51</t>
  </si>
  <si>
    <t># Stitched upper pieces52</t>
  </si>
  <si>
    <t># Stitched upper pieces53</t>
  </si>
  <si>
    <t># Stitched upper pieces54</t>
  </si>
  <si>
    <t># Stitched upper pieces55</t>
  </si>
  <si>
    <t># Stitched upper pieces56</t>
  </si>
  <si>
    <t># Stitched upper pieces57</t>
  </si>
  <si>
    <t># Stitched upper pieces58</t>
  </si>
  <si>
    <t># Stitched upper pieces59</t>
  </si>
  <si>
    <t># Stitched upper pieces60</t>
  </si>
  <si>
    <t># Stitched upper pieces61</t>
  </si>
  <si>
    <t># Stitched upper pieces62</t>
  </si>
  <si>
    <t># Stitched upper pieces63</t>
  </si>
  <si>
    <t># Stitched upper pieces64</t>
  </si>
  <si>
    <t># Stitched upper pieces65</t>
  </si>
  <si>
    <t># Stitched upper pieces66</t>
  </si>
  <si>
    <t># Stitched upper pieces67</t>
  </si>
  <si>
    <t># Stitched upper pieces68</t>
  </si>
  <si>
    <t># Stitched upper pieces69</t>
  </si>
  <si>
    <t># Stitched upper pieces70</t>
  </si>
  <si>
    <t># Stitched upper pieces71</t>
  </si>
  <si>
    <t># Stitched upper pieces72</t>
  </si>
  <si>
    <t># Stitched upper pieces73</t>
  </si>
  <si>
    <t># Stitched upper pieces74</t>
  </si>
  <si>
    <t># Stitched upper pieces75</t>
  </si>
  <si>
    <t># Stitched upper pieces76</t>
  </si>
  <si>
    <t># Stitched upper pieces77</t>
  </si>
  <si>
    <t># Stitched upper pieces78</t>
  </si>
  <si>
    <t># Stitched upper pieces79</t>
  </si>
  <si>
    <t># Stitched upper pieces80</t>
  </si>
  <si>
    <t>Pocket constructionNo</t>
  </si>
  <si>
    <t>Pocket constructionYes</t>
  </si>
  <si>
    <t># Cut &amp; Prep Non-leather pieces for single layer cutting21</t>
  </si>
  <si>
    <t># Cut &amp; Prep Non-leather pieces for single layer cutting22</t>
  </si>
  <si>
    <t># Cut &amp; Prep Non-leather pieces for single layer cutting23</t>
  </si>
  <si>
    <t># Cut &amp; Prep Non-leather pieces for single layer cutting24</t>
  </si>
  <si>
    <t># Cut &amp; Prep Non-leather pieces for single layer cutting25</t>
  </si>
  <si>
    <t># Cut &amp; Prep Non-leather pieces for single layer cutting26</t>
  </si>
  <si>
    <t># Cut &amp; Prep Non-leather pieces for single layer cutting27</t>
  </si>
  <si>
    <t># Cut &amp; Prep Non-leather pieces for single layer cutting28</t>
  </si>
  <si>
    <t># Cut &amp; Prep Non-leather pieces for single layer cutting29</t>
  </si>
  <si>
    <t># Cut &amp; Prep Non-leather pieces for single layer cutting30</t>
  </si>
  <si>
    <t># Cut &amp; Prep Non-leather pieces for single layer cutting31</t>
  </si>
  <si>
    <t># Cut &amp; Prep Non-leather pieces for single layer cutting32</t>
  </si>
  <si>
    <t># Cut &amp; Prep Non-leather pieces for single layer cutting33</t>
  </si>
  <si>
    <t># Cut &amp; Prep Non-leather pieces for single layer cutting34</t>
  </si>
  <si>
    <t># Cut &amp; Prep Non-leather pieces for single layer cutting35</t>
  </si>
  <si>
    <t># Cut &amp; Prep Non-leather pieces for single layer cutting36</t>
  </si>
  <si>
    <t># Cut &amp; Prep Non-leather pieces for single layer cutting37</t>
  </si>
  <si>
    <t># Cut &amp; Prep Non-leather pieces for single layer cutting38</t>
  </si>
  <si>
    <t># Cut &amp; Prep Non-leather pieces for single layer cutting39</t>
  </si>
  <si>
    <t># Cut &amp; Prep Non-leather pieces for single layer cutting40</t>
  </si>
  <si>
    <t># Cut &amp; Prep Non-leather pieces for single layer cutting41</t>
  </si>
  <si>
    <t># Cut &amp; Prep Non-leather pieces for single layer cutting42</t>
  </si>
  <si>
    <t># Cut &amp; Prep Non-leather pieces for single layer cutting43</t>
  </si>
  <si>
    <t># Cut &amp; Prep Non-leather pieces for single layer cutting44</t>
  </si>
  <si>
    <t># Cut &amp; Prep Non-leather pieces for single layer cutting45</t>
  </si>
  <si>
    <t># Cut &amp; Prep Non-leather pieces for single layer cutting46</t>
  </si>
  <si>
    <t># Cut &amp; Prep Non-leather pieces for single layer cutting47</t>
  </si>
  <si>
    <t># Cut &amp; Prep Non-leather pieces for single layer cutting48</t>
  </si>
  <si>
    <t># Cut &amp; Prep Non-leather pieces for single layer cutting49</t>
  </si>
  <si>
    <t># Cut &amp; Prep Non-leather pieces for single layer cutting50</t>
  </si>
  <si>
    <t># Cut &amp; Prep LEATHER PAIR MATCHING1</t>
  </si>
  <si>
    <t># Cut &amp; Prep LEATHER PAIR MATCHING</t>
  </si>
  <si>
    <t># Cut &amp; Prep LEATHER PAIR MATCHING2</t>
  </si>
  <si>
    <t># Cut &amp; Prep LEATHER PAIR MATCHING3</t>
  </si>
  <si>
    <t># Cut &amp; Prep LEATHER PAIR MATCHING4</t>
  </si>
  <si>
    <t># Cut &amp; Prep LEATHER PAIR MATCHING5</t>
  </si>
  <si>
    <t># Cut &amp; Prep LEATHER PAIR MATCHING6</t>
  </si>
  <si>
    <t># Cut &amp; Prep LEATHER PAIR MATCHING7</t>
  </si>
  <si>
    <t># Cut &amp; Prep LEATHER PAIR MATCHING8</t>
  </si>
  <si>
    <t># Cut &amp; Prep LEATHER PAIR MATCHING9</t>
  </si>
  <si>
    <t># Cut &amp; Prep LEATHER PAIR MATCHING10</t>
  </si>
  <si>
    <t># Cut &amp; Prep LEATHER PAIR MATCHING11</t>
  </si>
  <si>
    <t># Cut &amp; Prep LEATHER PAIR MATCHING12</t>
  </si>
  <si>
    <t># Cut &amp; Prep LEATHER PAIR MATCHING13</t>
  </si>
  <si>
    <t># Cut &amp; Prep LEATHER PAIR MATCHING14</t>
  </si>
  <si>
    <t># Cut &amp; Prep LEATHER PAIR MATCHING15</t>
  </si>
  <si>
    <t># Cut &amp; Prep LEATHER PAIR MATCHING16</t>
  </si>
  <si>
    <t># Cut &amp; Prep LEATHER PAIR MATCHING17</t>
  </si>
  <si>
    <t># Cut &amp; Prep LEATHER PAIR MATCHING18</t>
  </si>
  <si>
    <t># Cut &amp; Prep LEATHER PAIR MATCHING19</t>
  </si>
  <si>
    <t># Cut &amp; Prep LEATHER PAIR MATCHING20</t>
  </si>
  <si>
    <t># Cut &amp; Prep LEATHER PAIR MATCHING21</t>
  </si>
  <si>
    <t># Cut &amp; Prep LEATHER PAIR MATCHING22</t>
  </si>
  <si>
    <t># Cut &amp; Prep LEATHER PAIR MATCHING23</t>
  </si>
  <si>
    <t># Cut &amp; Prep LEATHER PAIR MATCHING24</t>
  </si>
  <si>
    <t># Cut &amp; Prep LEATHER PAIR MATCHING25</t>
  </si>
  <si>
    <t># Cut &amp; Prep LEATHER PAIR MATCHING26</t>
  </si>
  <si>
    <t># Cut &amp; Prep LEATHER PAIR MATCHING27</t>
  </si>
  <si>
    <t># Cut &amp; Prep LEATHER PAIR MATCHING28</t>
  </si>
  <si>
    <t># Cut &amp; Prep LEATHER PAIR MATCHING29</t>
  </si>
  <si>
    <t># Cut &amp; Prep LEATHER PAIR MATCHING30</t>
  </si>
  <si>
    <t># Cut &amp; Prep LEATHER PAIR MATCHING31</t>
  </si>
  <si>
    <t># Cut &amp; Prep LEATHER PAIR MATCHING32</t>
  </si>
  <si>
    <t># Cut &amp; Prep LEATHER PAIR MATCHING33</t>
  </si>
  <si>
    <t># Cut &amp; Prep LEATHER PAIR MATCHING34</t>
  </si>
  <si>
    <t># Cut &amp; Prep LEATHER PAIR MATCHING35</t>
  </si>
  <si>
    <t># Cut &amp; Prep LEATHER PAIR MATCHING36</t>
  </si>
  <si>
    <t># Cut &amp; Prep LEATHER PAIR MATCHING37</t>
  </si>
  <si>
    <t># Cut &amp; Prep LEATHER PAIR MATCHING38</t>
  </si>
  <si>
    <t># Cut &amp; Prep LEATHER PAIR MATCHING39</t>
  </si>
  <si>
    <t>LAST:</t>
  </si>
  <si>
    <t>OUTSOLE:</t>
  </si>
  <si>
    <t>Calculation Size %</t>
  </si>
  <si>
    <t>Gross Quantity</t>
  </si>
  <si>
    <t>Overhead Premium %</t>
  </si>
  <si>
    <t>Overhead Premium $</t>
  </si>
  <si>
    <t>Sample Size</t>
  </si>
  <si>
    <t>W7</t>
  </si>
  <si>
    <t>M9</t>
  </si>
  <si>
    <t>M11</t>
  </si>
  <si>
    <t>U9</t>
  </si>
  <si>
    <t>Special Sample</t>
  </si>
  <si>
    <t>Vendor Cost</t>
  </si>
  <si>
    <t>Shoes Height</t>
  </si>
  <si>
    <t>Heel counter 1</t>
  </si>
  <si>
    <t>Heel counter 2</t>
  </si>
  <si>
    <t>Upper &amp; Bottom Line-UpYes</t>
  </si>
  <si>
    <t>Upper &amp; Bottom Line-Up</t>
  </si>
  <si>
    <t>Upper &amp; Bottom Line-UpNo</t>
  </si>
  <si>
    <t>Shoes HeightKIDS Low/mid cut</t>
  </si>
  <si>
    <t>KIDS Low/mid cut</t>
  </si>
  <si>
    <t>Shoes HeightKIDS High cut</t>
  </si>
  <si>
    <t>KIDS High cut</t>
  </si>
  <si>
    <t>Shoes HeightKIDS Boot cut</t>
  </si>
  <si>
    <t>KIDS Boot cut</t>
  </si>
  <si>
    <t>Shoes HeightADULT Low/mid cut</t>
  </si>
  <si>
    <t>ADULT Low/mid cut</t>
  </si>
  <si>
    <t>Shoes HeightADULT High cut</t>
  </si>
  <si>
    <t>ADULT High cut</t>
  </si>
  <si>
    <t>Shoes HeightADULT Boot cut</t>
  </si>
  <si>
    <t>ADULT Boot cut</t>
  </si>
  <si>
    <t>{*d|var:sourcingConfigName|locked}</t>
  </si>
  <si>
    <t>{*d|var:countryOfOrigin|locked}</t>
  </si>
  <si>
    <t>{*d|var:specificationName|locked}</t>
  </si>
  <si>
    <t>{*d|var:scProductDescription|locked|ft:com.lcs.wc.product.LCSProduct}</t>
  </si>
  <si>
    <t>{*d|var:scGender|locked|ft:com.lcs.wc.product.LCSProduct}</t>
  </si>
  <si>
    <t>{*d|var:scAge|locked|ft:com.lcs.wc.product.LCSProduct}</t>
  </si>
  <si>
    <t>{*d|var:scOutsole|locked|ft:com.lcs.wc.product.LCSProduct}</t>
  </si>
  <si>
    <t>{*d|var:scLast|locked|ft:com.lcs.wc.product.LCSProduct}</t>
  </si>
  <si>
    <t>{*d|var:costSheetSelectedColorwayNames|locked}</t>
  </si>
  <si>
    <t>{*d|var:representativeColorwayName|locked}</t>
  </si>
  <si>
    <t>{*d|var:scSizeRange|locked|ft:com.lcs.wc.product.LCSProduct}</t>
  </si>
  <si>
    <t>{*ud|var:exportedUserMail}</t>
  </si>
  <si>
    <t>{*du|var:scQuoteUnits|ft:com.lcs.wc.sourcing.LCSCostSheet}</t>
  </si>
  <si>
    <t>{*du|var:scFirstSaleMarkup|ft:com.lcs.wc.sourcing.LCSCostSheet}</t>
  </si>
  <si>
    <t>{*du|var:scVendorCostComments|ft:com.lcs.wc.sourcing.LCSCostSheet}</t>
  </si>
  <si>
    <t>BOM Link ID</t>
  </si>
  <si>
    <t>Additional</t>
  </si>
  <si>
    <t>Upper</t>
  </si>
  <si>
    <t>Insole</t>
  </si>
  <si>
    <t>Sundries</t>
  </si>
  <si>
    <t>{*d|var:scMilestoneStatus|ft:com.lcs.wc.sourcing.LCSCostSheet|dir:column|param:ENUM_EXPORT~Y}</t>
  </si>
  <si>
    <t>{*d|var:scIncoterms|ft:com.lcs.wc.sourcing.LCSCostSheet|dir:column|param:ENUM_EXPORT~Y}</t>
  </si>
  <si>
    <t>{*d|var:scTargetVendorQuote|locked|ft:com.lcs.wc.sourcing.LCSCostSheet}</t>
  </si>
  <si>
    <t>{*d|var:scdevelopmentype|locked|ft:com.lcs.wc.season.LCSSeasonProductLink}</t>
  </si>
  <si>
    <t>{*d|var:scInitialEstimatedUnits|locked|ft:com.lcs.wc.season.LCSSKUSeasonLink}</t>
  </si>
  <si>
    <t>Construction typeStrobel &amp; half board</t>
  </si>
  <si>
    <t>{*d|var:scComponent|dir:column|grouped|locked|ft:com.lcs.wc.flexbom.FlexBOMLink|param:HRR~true|param:RR~150}</t>
  </si>
  <si>
    <t>{*d|var:scMaterialNo|dir:column|grouped|locked|ft:com.lcs.wc.material.LCSMaterial|param:HRR~true|param:RR~150}</t>
  </si>
  <si>
    <t>{*d|var:materialDescription|dir:column|grouped|locked|ft:com.lcs.wc.flexbom.FlexBOMLink|param:HRR~true|param:RR~150}</t>
  </si>
  <si>
    <t>{*d|var:name|dir:column|grouped|locked|ft:com.lcs.wc.supplier.LCSSupplier|param:HRR~true|param:RR~150}</t>
  </si>
  <si>
    <t>{*d|var:scComments|dir:column|grouped|locked|ft:com.lcs.wc.flexbom.FlexBOMLink|param:HRR~true|param:RR~150}</t>
  </si>
  <si>
    <t>{*d|var:bomUOM|dir:column|grouped|locked|param:HRR~true|param:RR~150}</t>
  </si>
  <si>
    <t>{*d|var:materialPrice|dir:column|grouped|locked|ft:com.lcs.wc.material.LCSMaterialSupplier|param:HRR~true|param:RR~150}</t>
  </si>
  <si>
    <t>{*du|var:priceOverride|dir:column|grouped|ft:com.lcs.wc.flexbom.FlexBOMLink|param:HRR~true|param:RR~150}</t>
  </si>
  <si>
    <t>{*du|var:scCIF|dir:column|grouped|ft:com.lcs.wc.flexbom.FlexBOMLink|param:HRR~true|param:RR~150}</t>
  </si>
  <si>
    <t>{*du|var:quantity|dir:column|grouped|ft:com.lcs.wc.flexbom.FlexBOMLink|param:HRR~true|param:RR~150}</t>
  </si>
  <si>
    <t>{*du|var:lossAdjustment|dir:column|grouped|ft:com.lcs.wc.flexbom.FlexBOMLink|param:HRR~true|param:RR~150}</t>
  </si>
  <si>
    <t>{*du|var:scCalculationSizePercent|dir:column|grouped|ft:com.lcs.wc.flexbom.FlexBOMLink|param:HRR~true|param:RR~150}</t>
  </si>
  <si>
    <t>{*du|var:plmSeasonName|locked}</t>
  </si>
  <si>
    <t>{*du|var:plmProductNumber|locked}</t>
  </si>
  <si>
    <t>{*du|var:costSheetSelectedColorwayIds|locked}</t>
  </si>
  <si>
    <t>{*du|var:bomLinkId|dir:column|grouped|locked|param:HRR~true|param:RR~150}</t>
  </si>
  <si>
    <t>{*d|var:scIncotermlocation|ft:com.lcs.wc.sourcing.LCSCostSheet|dir:column|param:OBJ_REF_LIST_EXPORT~Y}</t>
  </si>
  <si>
    <t>{*du|var:scQuoteGoodFrom|ft:com.lcs.wc.sourcing.LCSCostSheet|param:DATE_FORMAT~mm/dd/yyyy}</t>
  </si>
  <si>
    <t>{*du|var:scQuoteGoodUntil|ft:com.lcs.wc.sourcing.LCSCostSheet|param:DATE_FORMAT~mm/dd/yyyy}</t>
  </si>
  <si>
    <t>{*ud|var:scCostingSize|ft:com.lcs.wc.sourcing.LCSCostSheet}</t>
  </si>
  <si>
    <t>Additional Override Attributes</t>
  </si>
  <si>
    <t>{*du|var:plmCostSheetName}</t>
  </si>
  <si>
    <t>{*du|var:plmCostSheetNumber|locked}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</si>
</sst>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6" formatCode="0.0000"/>
    <numFmt numFmtId="167" formatCode="0.000"/>
    <numFmt numFmtId="168" formatCode="&quot;$&quot;\ #,###.00"/>
  </numFmts>
  <fonts count="7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Arial"/>
      <family val="2"/>
    </font>
    <font>
      <b/>
      <sz val="28"/>
      <color indexed="8"/>
      <name val="AdiHaus"/>
    </font>
    <font>
      <sz val="12"/>
      <name val="AdiHaus"/>
    </font>
    <font>
      <b/>
      <sz val="12"/>
      <color indexed="8"/>
      <name val="AdiHaus"/>
    </font>
    <font>
      <b/>
      <sz val="16"/>
      <color indexed="8"/>
      <name val="AdiHaus"/>
    </font>
    <font>
      <b/>
      <sz val="14"/>
      <color indexed="8"/>
      <name val="AdiHaus"/>
    </font>
    <font>
      <sz val="10"/>
      <name val="Arial"/>
      <family val="2"/>
    </font>
    <font>
      <sz val="10"/>
      <name val="AdiHaus"/>
    </font>
    <font>
      <b/>
      <sz val="16"/>
      <name val="Arial"/>
      <family val="2"/>
    </font>
    <font>
      <b/>
      <sz val="18"/>
      <color theme="0"/>
      <name val="Arial"/>
      <family val="2"/>
    </font>
    <font>
      <sz val="12"/>
      <name val="Arial"/>
      <family val="2"/>
    </font>
    <font>
      <sz val="11"/>
      <color indexed="8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4"/>
      <name val="AdiHaus"/>
    </font>
    <font>
      <b/>
      <sz val="48"/>
      <color theme="0"/>
      <name val="AdiHaus"/>
    </font>
    <font>
      <b/>
      <sz val="28"/>
      <color theme="0"/>
      <name val="AdiHaus"/>
    </font>
    <font>
      <sz val="13.5"/>
      <name val="AdiHaus"/>
    </font>
    <font>
      <b/>
      <sz val="20"/>
      <color indexed="8"/>
      <name val="AdiHaus"/>
    </font>
    <font>
      <sz val="20"/>
      <name val="AdiHaus"/>
    </font>
    <font>
      <sz val="14"/>
      <name val="Arial"/>
      <family val="2"/>
    </font>
    <font>
      <sz val="16"/>
      <name val="AdiHaus"/>
    </font>
    <font>
      <sz val="10"/>
      <color theme="0"/>
      <name val="Arial"/>
      <family val="2"/>
    </font>
    <font>
      <i/>
      <sz val="16"/>
      <name val="AdiHaus"/>
    </font>
    <font>
      <sz val="14"/>
      <name val="AdiHaus"/>
    </font>
    <font>
      <sz val="14"/>
      <color indexed="8"/>
      <name val="AdiHaus"/>
    </font>
    <font>
      <sz val="12"/>
      <name val="Calibri"/>
      <family val="2"/>
      <scheme val="minor"/>
    </font>
    <font>
      <b/>
      <sz val="72"/>
      <name val="Calibri"/>
      <family val="2"/>
    </font>
    <font>
      <b/>
      <sz val="48"/>
      <name val="Calibri"/>
      <family val="2"/>
    </font>
    <font>
      <b/>
      <sz val="48"/>
      <color theme="0"/>
      <name val="Calibri"/>
      <family val="2"/>
    </font>
    <font>
      <sz val="10"/>
      <name val="Calibri"/>
      <family val="2"/>
    </font>
    <font>
      <b/>
      <sz val="28"/>
      <color theme="0"/>
      <name val="Calibri"/>
      <family val="2"/>
    </font>
    <font>
      <b/>
      <sz val="16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i/>
      <sz val="16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b/>
      <sz val="12"/>
      <color rgb="FFFF0000"/>
      <name val="Calibri"/>
      <family val="2"/>
    </font>
    <font>
      <sz val="12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8"/>
      <name val="Calibri"/>
      <family val="2"/>
    </font>
    <font>
      <b/>
      <sz val="24"/>
      <color indexed="8"/>
      <name val="Calibri"/>
      <family val="2"/>
    </font>
    <font>
      <sz val="20"/>
      <name val="Calibri"/>
      <family val="2"/>
    </font>
    <font>
      <b/>
      <sz val="20"/>
      <color indexed="8"/>
      <name val="Calibri"/>
      <family val="2"/>
    </font>
    <font>
      <b/>
      <sz val="14"/>
      <color indexed="8"/>
      <name val="Calibri"/>
      <family val="2"/>
    </font>
    <font>
      <b/>
      <sz val="16"/>
      <color indexed="8"/>
      <name val="Calibri"/>
      <family val="2"/>
    </font>
    <font>
      <sz val="14"/>
      <color theme="0"/>
      <name val="Calibri"/>
      <family val="2"/>
    </font>
    <font>
      <b/>
      <sz val="16"/>
      <color theme="0"/>
      <name val="Calibri"/>
      <family val="2"/>
    </font>
    <font>
      <sz val="10"/>
      <color theme="0"/>
      <name val="Calibri"/>
      <family val="2"/>
    </font>
    <font>
      <b/>
      <sz val="14"/>
      <color theme="1"/>
      <name val="Calibri"/>
      <family val="2"/>
    </font>
    <font>
      <b/>
      <sz val="14"/>
      <name val="Calibri"/>
      <family val="2"/>
    </font>
    <font>
      <sz val="16"/>
      <color theme="0"/>
      <name val="Calibri"/>
      <family val="2"/>
    </font>
    <font>
      <b/>
      <sz val="18"/>
      <color theme="0"/>
      <name val="Calibri"/>
      <family val="2"/>
    </font>
    <font>
      <sz val="11"/>
      <color indexed="8"/>
      <name val="Calibri"/>
      <family val="2"/>
    </font>
    <font>
      <b/>
      <sz val="16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Calibri"/>
      <family val="2"/>
      <scheme val="minor"/>
    </font>
    <font>
      <sz val="16"/>
      <color indexed="8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44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5F7"/>
        <bgColor indexed="64"/>
      </patternFill>
    </fill>
    <fill>
      <patternFill patternType="solid">
        <fgColor theme="7" tint="-0.249977111117893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44" fontId="2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2" fillId="0" borderId="0"/>
    <xf numFmtId="9" fontId="60" fillId="0" borderId="0" applyFont="0" applyFill="0" applyBorder="0" applyAlignment="0" applyProtection="0"/>
    <xf numFmtId="0" fontId="60" fillId="0" borderId="0"/>
    <xf numFmtId="44" fontId="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2">
    <xf numFmtId="0" fontId="0" fillId="0" borderId="0" xfId="0"/>
    <xf numFmtId="0" fontId="4" fillId="0" borderId="0" xfId="1" applyFont="1"/>
    <xf numFmtId="0" fontId="3" fillId="0" borderId="0" xfId="1"/>
    <xf numFmtId="0" fontId="3" fillId="0" borderId="0" xfId="1" applyAlignment="1">
      <alignment horizontal="left"/>
    </xf>
    <xf numFmtId="0" fontId="3" fillId="0" borderId="0" xfId="1" applyAlignment="1">
      <alignment vertical="top"/>
    </xf>
    <xf numFmtId="0" fontId="11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164" fontId="12" fillId="0" borderId="0" xfId="1" applyNumberFormat="1" applyFont="1" applyAlignment="1">
      <alignment vertical="top"/>
    </xf>
    <xf numFmtId="164" fontId="13" fillId="0" borderId="0" xfId="1" applyNumberFormat="1" applyFont="1" applyAlignment="1">
      <alignment vertical="top"/>
    </xf>
    <xf numFmtId="0" fontId="5" fillId="0" borderId="0" xfId="1" applyFont="1" applyAlignment="1">
      <alignment vertical="center"/>
    </xf>
    <xf numFmtId="0" fontId="14" fillId="0" borderId="0" xfId="1" applyFont="1"/>
    <xf numFmtId="49" fontId="3" fillId="0" borderId="0" xfId="1" applyNumberFormat="1"/>
    <xf numFmtId="0" fontId="3" fillId="0" borderId="0" xfId="1" applyAlignment="1">
      <alignment horizontal="center"/>
    </xf>
    <xf numFmtId="2" fontId="3" fillId="0" borderId="0" xfId="1" applyNumberFormat="1" applyAlignment="1">
      <alignment horizontal="center"/>
    </xf>
    <xf numFmtId="0" fontId="17" fillId="0" borderId="0" xfId="1" applyFont="1" applyAlignment="1">
      <alignment horizontal="center" vertical="center" wrapText="1"/>
    </xf>
    <xf numFmtId="0" fontId="16" fillId="7" borderId="9" xfId="4" applyFont="1" applyFill="1" applyBorder="1" applyAlignment="1">
      <alignment horizontal="center" vertical="center" wrapText="1"/>
    </xf>
    <xf numFmtId="0" fontId="3" fillId="0" borderId="0" xfId="1" applyAlignment="1">
      <alignment vertical="center"/>
    </xf>
    <xf numFmtId="0" fontId="3" fillId="0" borderId="4" xfId="1" applyBorder="1"/>
    <xf numFmtId="0" fontId="3" fillId="0" borderId="5" xfId="1" applyBorder="1"/>
    <xf numFmtId="0" fontId="14" fillId="0" borderId="0" xfId="1" applyFont="1" applyAlignment="1">
      <alignment vertical="center"/>
    </xf>
    <xf numFmtId="0" fontId="7" fillId="2" borderId="9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 wrapText="1"/>
    </xf>
    <xf numFmtId="2" fontId="3" fillId="11" borderId="0" xfId="1" applyNumberFormat="1" applyFill="1" applyAlignment="1">
      <alignment horizontal="center"/>
    </xf>
    <xf numFmtId="2" fontId="16" fillId="7" borderId="9" xfId="4" applyNumberFormat="1" applyFont="1" applyFill="1" applyBorder="1" applyAlignment="1">
      <alignment horizontal="center" vertical="center" wrapText="1"/>
    </xf>
    <xf numFmtId="0" fontId="20" fillId="0" borderId="0" xfId="1" applyFont="1" applyAlignment="1">
      <alignment vertical="center"/>
    </xf>
    <xf numFmtId="0" fontId="14" fillId="0" borderId="4" xfId="1" applyFont="1" applyBorder="1" applyAlignment="1">
      <alignment vertical="center"/>
    </xf>
    <xf numFmtId="0" fontId="11" fillId="0" borderId="4" xfId="1" applyFont="1" applyBorder="1" applyAlignment="1">
      <alignment horizontal="center" vertical="top" wrapText="1"/>
    </xf>
    <xf numFmtId="0" fontId="11" fillId="0" borderId="5" xfId="1" applyFont="1" applyBorder="1" applyAlignment="1">
      <alignment horizontal="center" vertical="top" wrapText="1"/>
    </xf>
    <xf numFmtId="0" fontId="24" fillId="0" borderId="0" xfId="1" applyFont="1"/>
    <xf numFmtId="0" fontId="25" fillId="0" borderId="0" xfId="1" applyFont="1"/>
    <xf numFmtId="0" fontId="23" fillId="0" borderId="0" xfId="1" applyFont="1" applyAlignment="1">
      <alignment vertical="center"/>
    </xf>
    <xf numFmtId="43" fontId="14" fillId="0" borderId="0" xfId="1" applyNumberFormat="1" applyFont="1" applyAlignment="1">
      <alignment horizontal="center" vertical="center"/>
    </xf>
    <xf numFmtId="0" fontId="11" fillId="0" borderId="6" xfId="1" applyFont="1" applyBorder="1" applyAlignment="1">
      <alignment horizontal="center" vertical="top" wrapText="1"/>
    </xf>
    <xf numFmtId="0" fontId="11" fillId="0" borderId="7" xfId="1" applyFont="1" applyBorder="1" applyAlignment="1">
      <alignment horizontal="center" vertical="top" wrapText="1"/>
    </xf>
    <xf numFmtId="0" fontId="11" fillId="0" borderId="8" xfId="1" applyFont="1" applyBorder="1" applyAlignment="1">
      <alignment horizontal="center" vertical="top" wrapText="1"/>
    </xf>
    <xf numFmtId="0" fontId="14" fillId="0" borderId="5" xfId="1" applyFont="1" applyBorder="1" applyAlignment="1">
      <alignment vertical="center"/>
    </xf>
    <xf numFmtId="0" fontId="22" fillId="0" borderId="0" xfId="1" applyFont="1" applyAlignment="1">
      <alignment vertical="center"/>
    </xf>
    <xf numFmtId="0" fontId="3" fillId="0" borderId="0" xfId="1" applyAlignment="1">
      <alignment horizontal="center" vertical="center"/>
    </xf>
    <xf numFmtId="0" fontId="3" fillId="5" borderId="0" xfId="1" applyFill="1" applyAlignment="1">
      <alignment horizontal="center"/>
    </xf>
    <xf numFmtId="2" fontId="3" fillId="5" borderId="0" xfId="1" applyNumberFormat="1" applyFill="1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19" fillId="0" borderId="9" xfId="1" applyFont="1" applyBorder="1"/>
    <xf numFmtId="0" fontId="27" fillId="0" borderId="0" xfId="1" applyFont="1" applyAlignment="1">
      <alignment horizontal="left"/>
    </xf>
    <xf numFmtId="49" fontId="27" fillId="0" borderId="0" xfId="1" applyNumberFormat="1" applyFont="1"/>
    <xf numFmtId="0" fontId="27" fillId="0" borderId="0" xfId="1" applyFont="1" applyAlignment="1">
      <alignment horizontal="center"/>
    </xf>
    <xf numFmtId="2" fontId="27" fillId="0" borderId="0" xfId="1" applyNumberFormat="1" applyFont="1" applyAlignment="1">
      <alignment horizontal="center"/>
    </xf>
    <xf numFmtId="0" fontId="8" fillId="2" borderId="9" xfId="1" applyFont="1" applyFill="1" applyBorder="1" applyAlignment="1">
      <alignment horizontal="center" vertical="center" wrapText="1"/>
    </xf>
    <xf numFmtId="0" fontId="26" fillId="0" borderId="5" xfId="1" applyFont="1" applyBorder="1" applyAlignment="1">
      <alignment horizontal="center" vertical="center"/>
    </xf>
    <xf numFmtId="0" fontId="29" fillId="0" borderId="0" xfId="1" applyFont="1"/>
    <xf numFmtId="166" fontId="29" fillId="6" borderId="20" xfId="1" applyNumberFormat="1" applyFont="1" applyFill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0" fontId="29" fillId="0" borderId="0" xfId="1" applyFont="1" applyAlignment="1">
      <alignment vertical="top" wrapText="1"/>
    </xf>
    <xf numFmtId="3" fontId="9" fillId="0" borderId="0" xfId="1" applyNumberFormat="1" applyFont="1" applyAlignment="1">
      <alignment horizontal="center" vertical="center" wrapText="1"/>
    </xf>
    <xf numFmtId="2" fontId="30" fillId="4" borderId="20" xfId="0" applyNumberFormat="1" applyFont="1" applyFill="1" applyBorder="1" applyAlignment="1">
      <alignment horizontal="center" vertical="center" wrapText="1"/>
    </xf>
    <xf numFmtId="9" fontId="30" fillId="4" borderId="20" xfId="5" applyFont="1" applyFill="1" applyBorder="1" applyAlignment="1">
      <alignment horizontal="center" vertical="center" wrapText="1"/>
    </xf>
    <xf numFmtId="166" fontId="30" fillId="4" borderId="20" xfId="3" applyNumberFormat="1" applyFont="1" applyFill="1" applyBorder="1" applyAlignment="1">
      <alignment horizontal="center" vertical="center" wrapText="1"/>
    </xf>
    <xf numFmtId="0" fontId="16" fillId="5" borderId="0" xfId="7" applyFont="1" applyFill="1" applyAlignment="1">
      <alignment horizontal="center" vertical="center"/>
    </xf>
    <xf numFmtId="0" fontId="31" fillId="0" borderId="17" xfId="7" applyFont="1" applyBorder="1" applyAlignment="1">
      <alignment vertical="center"/>
    </xf>
    <xf numFmtId="0" fontId="0" fillId="0" borderId="17" xfId="0" applyBorder="1"/>
    <xf numFmtId="0" fontId="31" fillId="12" borderId="17" xfId="7" applyFont="1" applyFill="1" applyBorder="1" applyAlignment="1">
      <alignment vertical="center"/>
    </xf>
    <xf numFmtId="0" fontId="18" fillId="0" borderId="17" xfId="7" applyFont="1" applyBorder="1" applyAlignment="1">
      <alignment horizontal="right" vertical="center" wrapText="1"/>
    </xf>
    <xf numFmtId="0" fontId="21" fillId="12" borderId="0" xfId="1" applyFont="1" applyFill="1" applyAlignment="1">
      <alignment vertical="center"/>
    </xf>
    <xf numFmtId="0" fontId="3" fillId="12" borderId="0" xfId="1" applyFill="1"/>
    <xf numFmtId="0" fontId="25" fillId="0" borderId="0" xfId="1" applyFont="1" applyAlignment="1">
      <alignment horizontal="center"/>
    </xf>
    <xf numFmtId="2" fontId="30" fillId="4" borderId="16" xfId="0" applyNumberFormat="1" applyFont="1" applyFill="1" applyBorder="1" applyAlignment="1">
      <alignment horizontal="center" vertical="center" wrapText="1"/>
    </xf>
    <xf numFmtId="9" fontId="30" fillId="4" borderId="16" xfId="5" applyFont="1" applyFill="1" applyBorder="1" applyAlignment="1">
      <alignment horizontal="center" vertical="center" wrapText="1"/>
    </xf>
    <xf numFmtId="166" fontId="30" fillId="4" borderId="16" xfId="3" applyNumberFormat="1" applyFont="1" applyFill="1" applyBorder="1" applyAlignment="1">
      <alignment horizontal="center" vertical="center" wrapText="1"/>
    </xf>
    <xf numFmtId="0" fontId="21" fillId="12" borderId="0" xfId="1" applyFont="1" applyFill="1" applyAlignment="1">
      <alignment horizontal="left" vertical="center"/>
    </xf>
    <xf numFmtId="0" fontId="25" fillId="12" borderId="0" xfId="1" applyFont="1" applyFill="1"/>
    <xf numFmtId="0" fontId="26" fillId="12" borderId="0" xfId="1" applyFont="1" applyFill="1" applyAlignment="1">
      <alignment horizontal="center" vertical="center"/>
    </xf>
    <xf numFmtId="0" fontId="29" fillId="12" borderId="0" xfId="1" applyFont="1" applyFill="1"/>
    <xf numFmtId="0" fontId="29" fillId="12" borderId="0" xfId="1" applyFont="1" applyFill="1" applyAlignment="1">
      <alignment horizontal="center" vertical="center" wrapText="1"/>
    </xf>
    <xf numFmtId="0" fontId="29" fillId="12" borderId="0" xfId="1" applyFont="1" applyFill="1" applyAlignment="1">
      <alignment vertical="top" wrapText="1"/>
    </xf>
    <xf numFmtId="0" fontId="29" fillId="0" borderId="5" xfId="1" applyFont="1" applyBorder="1" applyAlignment="1">
      <alignment horizontal="center" vertical="center" wrapText="1"/>
    </xf>
    <xf numFmtId="0" fontId="29" fillId="0" borderId="8" xfId="1" applyFont="1" applyBorder="1" applyAlignment="1">
      <alignment horizontal="center" vertical="center" wrapText="1"/>
    </xf>
    <xf numFmtId="0" fontId="26" fillId="12" borderId="0" xfId="1" applyFont="1" applyFill="1" applyAlignment="1">
      <alignment vertical="center"/>
    </xf>
    <xf numFmtId="0" fontId="28" fillId="12" borderId="0" xfId="1" applyFont="1" applyFill="1" applyAlignment="1">
      <alignment horizontal="center" vertical="center"/>
    </xf>
    <xf numFmtId="3" fontId="26" fillId="12" borderId="0" xfId="1" applyNumberFormat="1" applyFont="1" applyFill="1" applyAlignment="1">
      <alignment horizontal="center" vertical="center"/>
    </xf>
    <xf numFmtId="0" fontId="23" fillId="12" borderId="0" xfId="1" applyFont="1" applyFill="1" applyAlignment="1">
      <alignment vertical="center"/>
    </xf>
    <xf numFmtId="0" fontId="3" fillId="12" borderId="0" xfId="1" applyFill="1" applyAlignment="1">
      <alignment vertical="top"/>
    </xf>
    <xf numFmtId="0" fontId="19" fillId="0" borderId="0" xfId="1" applyFont="1"/>
    <xf numFmtId="0" fontId="8" fillId="0" borderId="1" xfId="1" applyFont="1" applyBorder="1" applyAlignment="1">
      <alignment horizontal="left" vertical="center"/>
    </xf>
    <xf numFmtId="0" fontId="32" fillId="0" borderId="10" xfId="1" applyFont="1" applyBorder="1" applyAlignment="1">
      <alignment vertical="center"/>
    </xf>
    <xf numFmtId="0" fontId="32" fillId="0" borderId="22" xfId="1" applyFont="1" applyBorder="1" applyAlignment="1">
      <alignment vertical="center"/>
    </xf>
    <xf numFmtId="0" fontId="33" fillId="0" borderId="22" xfId="1" applyFont="1" applyBorder="1" applyAlignment="1">
      <alignment vertical="center"/>
    </xf>
    <xf numFmtId="0" fontId="34" fillId="0" borderId="11" xfId="1" applyFont="1" applyBorder="1" applyAlignment="1">
      <alignment vertical="center"/>
    </xf>
    <xf numFmtId="0" fontId="32" fillId="0" borderId="4" xfId="1" applyFont="1" applyBorder="1" applyAlignment="1">
      <alignment vertical="center"/>
    </xf>
    <xf numFmtId="0" fontId="35" fillId="0" borderId="5" xfId="1" applyFont="1" applyBorder="1"/>
    <xf numFmtId="0" fontId="32" fillId="0" borderId="6" xfId="1" applyFont="1" applyBorder="1" applyAlignment="1">
      <alignment vertical="center"/>
    </xf>
    <xf numFmtId="0" fontId="32" fillId="0" borderId="7" xfId="1" applyFont="1" applyBorder="1" applyAlignment="1">
      <alignment vertical="center"/>
    </xf>
    <xf numFmtId="0" fontId="33" fillId="0" borderId="7" xfId="1" applyFont="1" applyBorder="1" applyAlignment="1">
      <alignment horizontal="center" vertical="center"/>
    </xf>
    <xf numFmtId="0" fontId="35" fillId="0" borderId="8" xfId="1" applyFont="1" applyBorder="1"/>
    <xf numFmtId="0" fontId="39" fillId="0" borderId="22" xfId="1" applyFont="1" applyBorder="1" applyAlignment="1">
      <alignment vertical="center"/>
    </xf>
    <xf numFmtId="0" fontId="40" fillId="0" borderId="22" xfId="1" applyFont="1" applyBorder="1" applyAlignment="1">
      <alignment vertical="center"/>
    </xf>
    <xf numFmtId="0" fontId="39" fillId="12" borderId="11" xfId="1" applyFont="1" applyFill="1" applyBorder="1" applyAlignment="1">
      <alignment vertical="center"/>
    </xf>
    <xf numFmtId="0" fontId="39" fillId="0" borderId="0" xfId="1" applyFont="1" applyAlignment="1">
      <alignment vertical="center"/>
    </xf>
    <xf numFmtId="0" fontId="40" fillId="12" borderId="5" xfId="1" applyFont="1" applyFill="1" applyBorder="1" applyAlignment="1">
      <alignment horizontal="center" vertical="center"/>
    </xf>
    <xf numFmtId="3" fontId="39" fillId="12" borderId="5" xfId="1" applyNumberFormat="1" applyFont="1" applyFill="1" applyBorder="1" applyAlignment="1">
      <alignment horizontal="center" vertical="center"/>
    </xf>
    <xf numFmtId="0" fontId="39" fillId="12" borderId="5" xfId="1" applyFont="1" applyFill="1" applyBorder="1" applyAlignment="1">
      <alignment horizontal="center" vertical="center"/>
    </xf>
    <xf numFmtId="0" fontId="39" fillId="0" borderId="5" xfId="1" applyFont="1" applyBorder="1" applyAlignment="1">
      <alignment horizontal="center" vertical="center"/>
    </xf>
    <xf numFmtId="0" fontId="41" fillId="0" borderId="6" xfId="9" applyFont="1" applyBorder="1" applyAlignment="1">
      <alignment horizontal="left" vertical="center"/>
    </xf>
    <xf numFmtId="0" fontId="41" fillId="0" borderId="7" xfId="9" applyFont="1" applyBorder="1" applyAlignment="1">
      <alignment horizontal="left" vertical="center"/>
    </xf>
    <xf numFmtId="0" fontId="38" fillId="0" borderId="7" xfId="9" applyFont="1" applyBorder="1" applyAlignment="1">
      <alignment vertical="center"/>
    </xf>
    <xf numFmtId="0" fontId="39" fillId="0" borderId="7" xfId="1" applyFont="1" applyBorder="1" applyAlignment="1">
      <alignment vertical="center"/>
    </xf>
    <xf numFmtId="0" fontId="37" fillId="0" borderId="7" xfId="1" applyFont="1" applyBorder="1" applyAlignment="1">
      <alignment horizontal="right" vertical="center"/>
    </xf>
    <xf numFmtId="0" fontId="39" fillId="0" borderId="8" xfId="1" applyFont="1" applyBorder="1" applyAlignment="1">
      <alignment horizontal="center" vertical="center"/>
    </xf>
    <xf numFmtId="0" fontId="43" fillId="0" borderId="0" xfId="1" applyFont="1" applyAlignment="1">
      <alignment horizontal="left" vertical="center"/>
    </xf>
    <xf numFmtId="0" fontId="44" fillId="0" borderId="0" xfId="1" applyFont="1"/>
    <xf numFmtId="0" fontId="45" fillId="0" borderId="0" xfId="1" applyFont="1" applyAlignment="1">
      <alignment vertical="center"/>
    </xf>
    <xf numFmtId="0" fontId="46" fillId="0" borderId="0" xfId="1" applyFont="1" applyAlignment="1">
      <alignment horizontal="left" vertical="center"/>
    </xf>
    <xf numFmtId="0" fontId="44" fillId="0" borderId="0" xfId="1" applyFont="1" applyAlignment="1">
      <alignment horizontal="left" vertical="center"/>
    </xf>
    <xf numFmtId="0" fontId="46" fillId="0" borderId="0" xfId="1" applyFont="1" applyAlignment="1">
      <alignment horizontal="right" vertical="center"/>
    </xf>
    <xf numFmtId="0" fontId="35" fillId="0" borderId="0" xfId="1" applyFont="1" applyAlignment="1">
      <alignment horizontal="left"/>
    </xf>
    <xf numFmtId="0" fontId="47" fillId="0" borderId="0" xfId="1" applyFont="1" applyAlignment="1">
      <alignment horizontal="center"/>
    </xf>
    <xf numFmtId="0" fontId="35" fillId="0" borderId="0" xfId="1" applyFont="1"/>
    <xf numFmtId="0" fontId="48" fillId="0" borderId="4" xfId="1" applyFont="1" applyBorder="1" applyAlignment="1">
      <alignment horizontal="center" vertical="center"/>
    </xf>
    <xf numFmtId="0" fontId="48" fillId="0" borderId="0" xfId="1" applyFont="1" applyAlignment="1">
      <alignment horizontal="center" vertical="center"/>
    </xf>
    <xf numFmtId="0" fontId="49" fillId="0" borderId="4" xfId="1" applyFont="1" applyBorder="1"/>
    <xf numFmtId="0" fontId="49" fillId="0" borderId="0" xfId="1" applyFont="1"/>
    <xf numFmtId="0" fontId="50" fillId="0" borderId="5" xfId="1" applyFont="1" applyBorder="1" applyAlignment="1">
      <alignment vertical="center"/>
    </xf>
    <xf numFmtId="0" fontId="35" fillId="0" borderId="4" xfId="1" applyFont="1" applyBorder="1" applyAlignment="1">
      <alignment vertical="top"/>
    </xf>
    <xf numFmtId="0" fontId="35" fillId="0" borderId="0" xfId="1" applyFont="1" applyAlignment="1">
      <alignment vertical="top"/>
    </xf>
    <xf numFmtId="0" fontId="51" fillId="0" borderId="0" xfId="1" applyFont="1" applyAlignment="1">
      <alignment horizontal="right" vertical="top" wrapText="1"/>
    </xf>
    <xf numFmtId="0" fontId="35" fillId="0" borderId="5" xfId="1" applyFont="1" applyBorder="1" applyAlignment="1">
      <alignment vertical="top"/>
    </xf>
    <xf numFmtId="0" fontId="35" fillId="0" borderId="4" xfId="1" applyFont="1" applyBorder="1"/>
    <xf numFmtId="0" fontId="52" fillId="3" borderId="9" xfId="1" applyFont="1" applyFill="1" applyBorder="1" applyAlignment="1">
      <alignment vertical="center" wrapText="1"/>
    </xf>
    <xf numFmtId="0" fontId="39" fillId="0" borderId="0" xfId="1" applyFont="1"/>
    <xf numFmtId="0" fontId="52" fillId="3" borderId="9" xfId="1" applyFont="1" applyFill="1" applyBorder="1" applyAlignment="1">
      <alignment horizontal="left" vertical="center" wrapText="1"/>
    </xf>
    <xf numFmtId="0" fontId="42" fillId="0" borderId="0" xfId="0" applyFont="1" applyAlignment="1">
      <alignment horizontal="right"/>
    </xf>
    <xf numFmtId="0" fontId="52" fillId="3" borderId="9" xfId="1" applyFont="1" applyFill="1" applyBorder="1" applyAlignment="1">
      <alignment horizontal="center" vertical="center" wrapText="1"/>
    </xf>
    <xf numFmtId="0" fontId="52" fillId="0" borderId="12" xfId="1" applyFont="1" applyBorder="1" applyAlignment="1">
      <alignment vertical="center" wrapText="1"/>
    </xf>
    <xf numFmtId="44" fontId="39" fillId="4" borderId="12" xfId="8" applyFont="1" applyFill="1" applyBorder="1" applyAlignment="1">
      <alignment horizontal="center" vertical="center"/>
    </xf>
    <xf numFmtId="0" fontId="39" fillId="0" borderId="0" xfId="1" applyFont="1" applyAlignment="1">
      <alignment vertical="top"/>
    </xf>
    <xf numFmtId="0" fontId="37" fillId="0" borderId="14" xfId="1" applyFont="1" applyBorder="1" applyAlignment="1">
      <alignment horizontal="left" vertical="center" wrapText="1"/>
    </xf>
    <xf numFmtId="0" fontId="53" fillId="0" borderId="0" xfId="0" applyFont="1" applyAlignment="1">
      <alignment horizontal="right"/>
    </xf>
    <xf numFmtId="0" fontId="52" fillId="0" borderId="14" xfId="1" applyFont="1" applyBorder="1" applyAlignment="1">
      <alignment horizontal="left" vertical="center" wrapText="1"/>
    </xf>
    <xf numFmtId="41" fontId="39" fillId="4" borderId="11" xfId="1" applyNumberFormat="1" applyFont="1" applyFill="1" applyBorder="1" applyAlignment="1">
      <alignment horizontal="left" vertical="center"/>
    </xf>
    <xf numFmtId="0" fontId="42" fillId="0" borderId="0" xfId="0" applyFont="1" applyAlignment="1">
      <alignment horizontal="left"/>
    </xf>
    <xf numFmtId="0" fontId="52" fillId="0" borderId="13" xfId="1" applyFont="1" applyBorder="1" applyAlignment="1">
      <alignment vertical="center" wrapText="1"/>
    </xf>
    <xf numFmtId="44" fontId="39" fillId="4" borderId="13" xfId="8" applyFont="1" applyFill="1" applyBorder="1" applyAlignment="1">
      <alignment horizontal="center" vertical="center"/>
    </xf>
    <xf numFmtId="0" fontId="37" fillId="0" borderId="12" xfId="1" applyFont="1" applyBorder="1" applyAlignment="1">
      <alignment horizontal="left" vertical="center" wrapText="1"/>
    </xf>
    <xf numFmtId="0" fontId="35" fillId="0" borderId="0" xfId="1" applyFont="1" applyAlignment="1">
      <alignment vertical="center"/>
    </xf>
    <xf numFmtId="0" fontId="52" fillId="0" borderId="12" xfId="1" applyFont="1" applyBorder="1" applyAlignment="1">
      <alignment horizontal="left" vertical="center" wrapText="1"/>
    </xf>
    <xf numFmtId="0" fontId="37" fillId="0" borderId="13" xfId="1" applyFont="1" applyBorder="1" applyAlignment="1">
      <alignment horizontal="left" vertical="center" wrapText="1"/>
    </xf>
    <xf numFmtId="41" fontId="39" fillId="4" borderId="13" xfId="1" applyNumberFormat="1" applyFont="1" applyFill="1" applyBorder="1" applyAlignment="1">
      <alignment horizontal="left" vertical="center"/>
    </xf>
    <xf numFmtId="0" fontId="52" fillId="12" borderId="0" xfId="1" applyFont="1" applyFill="1" applyAlignment="1">
      <alignment vertical="center" wrapText="1"/>
    </xf>
    <xf numFmtId="0" fontId="37" fillId="12" borderId="0" xfId="1" applyFont="1" applyFill="1" applyAlignment="1">
      <alignment horizontal="center" vertical="center"/>
    </xf>
    <xf numFmtId="0" fontId="52" fillId="3" borderId="14" xfId="1" applyFont="1" applyFill="1" applyBorder="1" applyAlignment="1">
      <alignment horizontal="center" vertical="center" wrapText="1"/>
    </xf>
    <xf numFmtId="0" fontId="37" fillId="0" borderId="12" xfId="1" applyFont="1" applyBorder="1" applyAlignment="1">
      <alignment horizontal="left" vertical="center"/>
    </xf>
    <xf numFmtId="0" fontId="52" fillId="0" borderId="10" xfId="1" applyFont="1" applyBorder="1" applyAlignment="1">
      <alignment horizontal="left" vertical="center" wrapText="1"/>
    </xf>
    <xf numFmtId="0" fontId="35" fillId="0" borderId="4" xfId="1" applyFont="1" applyBorder="1" applyAlignment="1">
      <alignment vertical="center"/>
    </xf>
    <xf numFmtId="0" fontId="52" fillId="0" borderId="4" xfId="1" applyFont="1" applyBorder="1" applyAlignment="1">
      <alignment horizontal="left" vertical="center" wrapText="1"/>
    </xf>
    <xf numFmtId="0" fontId="35" fillId="0" borderId="5" xfId="1" applyFont="1" applyBorder="1" applyAlignment="1">
      <alignment vertical="center"/>
    </xf>
    <xf numFmtId="0" fontId="55" fillId="0" borderId="0" xfId="1" applyFont="1"/>
    <xf numFmtId="0" fontId="42" fillId="0" borderId="0" xfId="0" applyFont="1" applyAlignment="1">
      <alignment horizontal="left" wrapText="1"/>
    </xf>
    <xf numFmtId="0" fontId="53" fillId="0" borderId="0" xfId="0" applyFont="1" applyAlignment="1">
      <alignment horizontal="right" vertical="center"/>
    </xf>
    <xf numFmtId="0" fontId="52" fillId="0" borderId="13" xfId="1" applyFont="1" applyBorder="1" applyAlignment="1">
      <alignment horizontal="left" vertical="center" wrapText="1"/>
    </xf>
    <xf numFmtId="0" fontId="55" fillId="0" borderId="0" xfId="1" applyFont="1" applyAlignment="1">
      <alignment horizontal="right" vertical="center"/>
    </xf>
    <xf numFmtId="41" fontId="39" fillId="4" borderId="5" xfId="1" applyNumberFormat="1" applyFont="1" applyFill="1" applyBorder="1" applyAlignment="1">
      <alignment horizontal="left" vertical="center"/>
    </xf>
    <xf numFmtId="0" fontId="52" fillId="0" borderId="6" xfId="1" applyFont="1" applyBorder="1" applyAlignment="1">
      <alignment horizontal="left" vertical="center" wrapText="1"/>
    </xf>
    <xf numFmtId="43" fontId="39" fillId="4" borderId="12" xfId="1" applyNumberFormat="1" applyFont="1" applyFill="1" applyBorder="1" applyAlignment="1">
      <alignment horizontal="center" vertical="top"/>
    </xf>
    <xf numFmtId="0" fontId="52" fillId="4" borderId="12" xfId="1" applyFont="1" applyFill="1" applyBorder="1" applyAlignment="1">
      <alignment horizontal="right" vertical="center" wrapText="1"/>
    </xf>
    <xf numFmtId="43" fontId="39" fillId="4" borderId="12" xfId="1" applyNumberFormat="1" applyFont="1" applyFill="1" applyBorder="1" applyAlignment="1">
      <alignment horizontal="center" vertical="center"/>
    </xf>
    <xf numFmtId="0" fontId="51" fillId="12" borderId="0" xfId="1" applyFont="1" applyFill="1" applyAlignment="1">
      <alignment horizontal="left" vertical="top" wrapText="1"/>
    </xf>
    <xf numFmtId="9" fontId="57" fillId="12" borderId="0" xfId="5" applyFont="1" applyFill="1" applyBorder="1" applyAlignment="1">
      <alignment horizontal="center" vertical="top"/>
    </xf>
    <xf numFmtId="164" fontId="37" fillId="4" borderId="3" xfId="1" applyNumberFormat="1" applyFont="1" applyFill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35" fillId="12" borderId="0" xfId="1" applyFont="1" applyFill="1" applyAlignment="1">
      <alignment vertical="center"/>
    </xf>
    <xf numFmtId="0" fontId="54" fillId="8" borderId="9" xfId="1" applyFont="1" applyFill="1" applyBorder="1" applyAlignment="1">
      <alignment horizontal="left" vertical="center" wrapText="1"/>
    </xf>
    <xf numFmtId="0" fontId="51" fillId="12" borderId="0" xfId="1" applyFont="1" applyFill="1" applyAlignment="1">
      <alignment vertical="center" wrapText="1"/>
    </xf>
    <xf numFmtId="164" fontId="57" fillId="0" borderId="0" xfId="1" applyNumberFormat="1" applyFont="1" applyAlignment="1">
      <alignment horizontal="center" vertical="center"/>
    </xf>
    <xf numFmtId="43" fontId="44" fillId="0" borderId="0" xfId="1" applyNumberFormat="1" applyFont="1" applyAlignment="1">
      <alignment horizontal="center" vertical="top"/>
    </xf>
    <xf numFmtId="0" fontId="51" fillId="0" borderId="4" xfId="1" applyFont="1" applyBorder="1" applyAlignment="1">
      <alignment horizontal="left" vertical="center" wrapText="1"/>
    </xf>
    <xf numFmtId="43" fontId="44" fillId="0" borderId="0" xfId="1" applyNumberFormat="1" applyFont="1" applyAlignment="1">
      <alignment horizontal="center" vertical="center"/>
    </xf>
    <xf numFmtId="0" fontId="52" fillId="4" borderId="13" xfId="1" applyFont="1" applyFill="1" applyBorder="1" applyAlignment="1">
      <alignment horizontal="right" vertical="center" wrapText="1"/>
    </xf>
    <xf numFmtId="43" fontId="39" fillId="4" borderId="13" xfId="1" applyNumberFormat="1" applyFont="1" applyFill="1" applyBorder="1" applyAlignment="1">
      <alignment horizontal="center" vertical="top"/>
    </xf>
    <xf numFmtId="164" fontId="57" fillId="12" borderId="0" xfId="1" applyNumberFormat="1" applyFont="1" applyFill="1" applyAlignment="1">
      <alignment horizontal="right" vertical="top"/>
    </xf>
    <xf numFmtId="43" fontId="58" fillId="0" borderId="0" xfId="1" applyNumberFormat="1" applyFont="1" applyAlignment="1">
      <alignment horizontal="center" vertical="center"/>
    </xf>
    <xf numFmtId="0" fontId="52" fillId="0" borderId="0" xfId="1" applyFont="1" applyAlignment="1">
      <alignment horizontal="right" vertical="center" wrapText="1"/>
    </xf>
    <xf numFmtId="43" fontId="39" fillId="0" borderId="0" xfId="1" applyNumberFormat="1" applyFont="1" applyAlignment="1">
      <alignment horizontal="center" vertical="top"/>
    </xf>
    <xf numFmtId="0" fontId="35" fillId="0" borderId="0" xfId="1" applyFont="1" applyAlignment="1">
      <alignment horizontal="center" vertical="center"/>
    </xf>
    <xf numFmtId="0" fontId="35" fillId="0" borderId="4" xfId="1" applyFont="1" applyBorder="1" applyAlignment="1">
      <alignment horizontal="center" vertical="center"/>
    </xf>
    <xf numFmtId="0" fontId="39" fillId="0" borderId="0" xfId="1" applyFont="1" applyAlignment="1">
      <alignment horizontal="center" vertical="center"/>
    </xf>
    <xf numFmtId="0" fontId="35" fillId="0" borderId="5" xfId="1" applyFont="1" applyBorder="1" applyAlignment="1">
      <alignment horizontal="center" vertical="center"/>
    </xf>
    <xf numFmtId="0" fontId="54" fillId="12" borderId="0" xfId="1" applyFont="1" applyFill="1" applyAlignment="1">
      <alignment horizontal="center" vertical="center" wrapText="1"/>
    </xf>
    <xf numFmtId="164" fontId="37" fillId="12" borderId="0" xfId="1" applyNumberFormat="1" applyFont="1" applyFill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38" fillId="0" borderId="4" xfId="9" applyFont="1" applyBorder="1" applyAlignment="1">
      <alignment horizontal="left" vertical="center"/>
    </xf>
    <xf numFmtId="0" fontId="52" fillId="3" borderId="1" xfId="1" applyFont="1" applyFill="1" applyBorder="1" applyAlignment="1">
      <alignment vertical="center" wrapText="1"/>
    </xf>
    <xf numFmtId="0" fontId="52" fillId="3" borderId="3" xfId="1" applyFont="1" applyFill="1" applyBorder="1" applyAlignment="1">
      <alignment vertical="center" wrapText="1"/>
    </xf>
    <xf numFmtId="0" fontId="36" fillId="13" borderId="24" xfId="1" applyFont="1" applyFill="1" applyBorder="1" applyAlignment="1">
      <alignment vertical="center"/>
    </xf>
    <xf numFmtId="0" fontId="36" fillId="13" borderId="26" xfId="1" applyFont="1" applyFill="1" applyBorder="1" applyAlignment="1">
      <alignment vertical="center"/>
    </xf>
    <xf numFmtId="0" fontId="36" fillId="13" borderId="25" xfId="1" applyFont="1" applyFill="1" applyBorder="1" applyAlignment="1">
      <alignment vertical="center"/>
    </xf>
    <xf numFmtId="0" fontId="42" fillId="12" borderId="7" xfId="9" applyFont="1" applyFill="1" applyBorder="1" applyAlignment="1">
      <alignment vertical="center" wrapText="1"/>
    </xf>
    <xf numFmtId="0" fontId="36" fillId="13" borderId="10" xfId="1" applyFont="1" applyFill="1" applyBorder="1" applyAlignment="1">
      <alignment vertical="center"/>
    </xf>
    <xf numFmtId="0" fontId="36" fillId="13" borderId="22" xfId="1" applyFont="1" applyFill="1" applyBorder="1" applyAlignment="1">
      <alignment vertical="center"/>
    </xf>
    <xf numFmtId="0" fontId="36" fillId="13" borderId="2" xfId="1" applyFont="1" applyFill="1" applyBorder="1" applyAlignment="1">
      <alignment vertical="center"/>
    </xf>
    <xf numFmtId="0" fontId="36" fillId="13" borderId="3" xfId="1" applyFont="1" applyFill="1" applyBorder="1" applyAlignment="1">
      <alignment vertical="center"/>
    </xf>
    <xf numFmtId="0" fontId="52" fillId="3" borderId="3" xfId="1" applyFont="1" applyFill="1" applyBorder="1" applyAlignment="1">
      <alignment horizontal="center" vertical="center"/>
    </xf>
    <xf numFmtId="41" fontId="39" fillId="4" borderId="12" xfId="1" applyNumberFormat="1" applyFont="1" applyFill="1" applyBorder="1" applyAlignment="1">
      <alignment horizontal="left" vertical="center"/>
    </xf>
    <xf numFmtId="0" fontId="52" fillId="3" borderId="11" xfId="1" applyFont="1" applyFill="1" applyBorder="1" applyAlignment="1">
      <alignment horizontal="left" vertical="center"/>
    </xf>
    <xf numFmtId="43" fontId="39" fillId="9" borderId="11" xfId="1" applyNumberFormat="1" applyFont="1" applyFill="1" applyBorder="1" applyAlignment="1">
      <alignment horizontal="left" vertical="center"/>
    </xf>
    <xf numFmtId="43" fontId="39" fillId="9" borderId="5" xfId="1" applyNumberFormat="1" applyFont="1" applyFill="1" applyBorder="1" applyAlignment="1">
      <alignment horizontal="left" vertical="center"/>
    </xf>
    <xf numFmtId="43" fontId="39" fillId="9" borderId="8" xfId="1" applyNumberFormat="1" applyFont="1" applyFill="1" applyBorder="1" applyAlignment="1">
      <alignment horizontal="left" vertical="center"/>
    </xf>
    <xf numFmtId="0" fontId="52" fillId="3" borderId="3" xfId="1" applyFont="1" applyFill="1" applyBorder="1" applyAlignment="1">
      <alignment horizontal="left" vertical="center"/>
    </xf>
    <xf numFmtId="0" fontId="38" fillId="0" borderId="12" xfId="9" applyFont="1" applyBorder="1" applyAlignment="1">
      <alignment horizontal="left" vertical="center"/>
    </xf>
    <xf numFmtId="0" fontId="52" fillId="0" borderId="0" xfId="1" applyFont="1" applyAlignment="1">
      <alignment horizontal="right" vertical="center"/>
    </xf>
    <xf numFmtId="0" fontId="11" fillId="0" borderId="0" xfId="1" applyFont="1" applyAlignment="1">
      <alignment horizontal="center" vertical="top"/>
    </xf>
    <xf numFmtId="0" fontId="11" fillId="0" borderId="7" xfId="1" applyFont="1" applyBorder="1" applyAlignment="1">
      <alignment horizontal="center" vertical="top"/>
    </xf>
    <xf numFmtId="0" fontId="59" fillId="8" borderId="2" xfId="1" applyFont="1" applyFill="1" applyBorder="1" applyAlignment="1">
      <alignment vertical="center"/>
    </xf>
    <xf numFmtId="0" fontId="59" fillId="8" borderId="1" xfId="1" applyFont="1" applyFill="1" applyBorder="1" applyAlignment="1">
      <alignment horizontal="center" vertical="center" wrapText="1"/>
    </xf>
    <xf numFmtId="0" fontId="56" fillId="14" borderId="12" xfId="9" applyFont="1" applyFill="1" applyBorder="1" applyAlignment="1">
      <alignment horizontal="left" vertical="center" wrapText="1"/>
    </xf>
    <xf numFmtId="0" fontId="40" fillId="4" borderId="0" xfId="1" applyFont="1" applyFill="1" applyAlignment="1">
      <alignment vertical="center"/>
    </xf>
    <xf numFmtId="0" fontId="38" fillId="14" borderId="0" xfId="9" applyFont="1" applyFill="1" applyAlignment="1">
      <alignment vertical="center"/>
    </xf>
    <xf numFmtId="0" fontId="37" fillId="0" borderId="0" xfId="1" applyFont="1" applyAlignment="1">
      <alignment horizontal="left" vertical="center"/>
    </xf>
    <xf numFmtId="0" fontId="37" fillId="0" borderId="4" xfId="1" applyFont="1" applyBorder="1" applyAlignment="1">
      <alignment vertical="center"/>
    </xf>
    <xf numFmtId="0" fontId="41" fillId="0" borderId="4" xfId="9" applyFont="1" applyBorder="1" applyAlignment="1">
      <alignment vertical="center"/>
    </xf>
    <xf numFmtId="0" fontId="40" fillId="0" borderId="0" xfId="1" applyFont="1" applyAlignment="1">
      <alignment vertical="center"/>
    </xf>
    <xf numFmtId="0" fontId="37" fillId="12" borderId="0" xfId="1" applyFont="1" applyFill="1" applyAlignment="1">
      <alignment horizontal="right" vertical="center"/>
    </xf>
    <xf numFmtId="0" fontId="39" fillId="12" borderId="0" xfId="1" applyFont="1" applyFill="1" applyAlignment="1">
      <alignment vertical="center"/>
    </xf>
    <xf numFmtId="0" fontId="37" fillId="0" borderId="0" xfId="1" applyFont="1" applyAlignment="1">
      <alignment horizontal="right" vertical="center"/>
    </xf>
    <xf numFmtId="0" fontId="32" fillId="0" borderId="0" xfId="1" applyFont="1" applyAlignment="1">
      <alignment vertical="center"/>
    </xf>
    <xf numFmtId="0" fontId="33" fillId="0" borderId="0" xfId="1" applyFont="1" applyAlignment="1">
      <alignment vertical="center"/>
    </xf>
    <xf numFmtId="0" fontId="61" fillId="0" borderId="0" xfId="1" applyFont="1" applyAlignment="1">
      <alignment vertical="center"/>
    </xf>
    <xf numFmtId="0" fontId="62" fillId="0" borderId="28" xfId="9" applyFont="1" applyBorder="1" applyAlignment="1">
      <alignment horizontal="left" vertical="center"/>
    </xf>
    <xf numFmtId="0" fontId="62" fillId="0" borderId="29" xfId="9" applyFont="1" applyBorder="1" applyAlignment="1">
      <alignment horizontal="left" vertical="center"/>
    </xf>
    <xf numFmtId="0" fontId="62" fillId="12" borderId="29" xfId="9" applyFont="1" applyFill="1" applyBorder="1" applyAlignment="1">
      <alignment horizontal="left" vertical="center"/>
    </xf>
    <xf numFmtId="0" fontId="64" fillId="0" borderId="29" xfId="9" applyFont="1" applyBorder="1" applyAlignment="1">
      <alignment horizontal="left" vertical="center"/>
    </xf>
    <xf numFmtId="0" fontId="0" fillId="0" borderId="31" xfId="0" applyBorder="1"/>
    <xf numFmtId="0" fontId="65" fillId="5" borderId="32" xfId="0" applyFont="1" applyFill="1" applyBorder="1"/>
    <xf numFmtId="0" fontId="62" fillId="0" borderId="30" xfId="9" applyFont="1" applyBorder="1" applyAlignment="1">
      <alignment horizontal="left" vertical="center" wrapText="1"/>
    </xf>
    <xf numFmtId="0" fontId="66" fillId="0" borderId="31" xfId="0" applyFont="1" applyBorder="1"/>
    <xf numFmtId="0" fontId="18" fillId="5" borderId="32" xfId="9" applyFont="1" applyFill="1" applyBorder="1" applyAlignment="1">
      <alignment horizontal="left" vertical="center"/>
    </xf>
    <xf numFmtId="0" fontId="18" fillId="5" borderId="32" xfId="9" applyFont="1" applyFill="1" applyBorder="1" applyAlignment="1">
      <alignment horizontal="left" vertical="center" wrapText="1"/>
    </xf>
    <xf numFmtId="0" fontId="21" fillId="13" borderId="1" xfId="1" applyFont="1" applyFill="1" applyBorder="1" applyAlignment="1">
      <alignment horizontal="left" vertical="center"/>
    </xf>
    <xf numFmtId="0" fontId="21" fillId="13" borderId="2" xfId="1" applyFont="1" applyFill="1" applyBorder="1" applyAlignment="1">
      <alignment horizontal="left" vertical="center"/>
    </xf>
    <xf numFmtId="0" fontId="21" fillId="13" borderId="3" xfId="1" applyFont="1" applyFill="1" applyBorder="1" applyAlignment="1">
      <alignment horizontal="left" vertical="center"/>
    </xf>
    <xf numFmtId="0" fontId="63" fillId="14" borderId="33" xfId="9" applyFont="1" applyFill="1" applyBorder="1" applyAlignment="1">
      <alignment horizontal="left" vertical="center"/>
    </xf>
    <xf numFmtId="0" fontId="63" fillId="14" borderId="34" xfId="9" applyFont="1" applyFill="1" applyBorder="1" applyAlignment="1">
      <alignment horizontal="left" vertical="center"/>
    </xf>
    <xf numFmtId="14" fontId="63" fillId="14" borderId="34" xfId="13" applyNumberFormat="1" applyFont="1" applyFill="1" applyBorder="1" applyAlignment="1">
      <alignment horizontal="left" vertical="center"/>
    </xf>
    <xf numFmtId="165" fontId="63" fillId="14" borderId="34" xfId="9" applyNumberFormat="1" applyFont="1" applyFill="1" applyBorder="1" applyAlignment="1">
      <alignment horizontal="left" vertical="center"/>
    </xf>
    <xf numFmtId="165" fontId="63" fillId="14" borderId="35" xfId="9" applyNumberFormat="1" applyFont="1" applyFill="1" applyBorder="1" applyAlignment="1">
      <alignment horizontal="left" vertical="center"/>
    </xf>
    <xf numFmtId="43" fontId="39" fillId="14" borderId="14" xfId="1" applyNumberFormat="1" applyFont="1" applyFill="1" applyBorder="1" applyAlignment="1">
      <alignment horizontal="left" vertical="center" wrapText="1"/>
    </xf>
    <xf numFmtId="43" fontId="39" fillId="14" borderId="12" xfId="1" applyNumberFormat="1" applyFont="1" applyFill="1" applyBorder="1" applyAlignment="1">
      <alignment horizontal="left" vertical="center" wrapText="1"/>
    </xf>
    <xf numFmtId="43" fontId="39" fillId="14" borderId="13" xfId="1" applyNumberFormat="1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/>
    </xf>
    <xf numFmtId="0" fontId="39" fillId="15" borderId="0" xfId="1" applyFont="1" applyFill="1" applyAlignment="1">
      <alignment vertical="center"/>
    </xf>
    <xf numFmtId="0" fontId="22" fillId="15" borderId="0" xfId="1" applyFont="1" applyFill="1" applyAlignment="1">
      <alignment vertical="center"/>
    </xf>
    <xf numFmtId="164" fontId="37" fillId="6" borderId="9" xfId="1" applyNumberFormat="1" applyFont="1" applyFill="1" applyBorder="1" applyAlignment="1">
      <alignment vertical="center"/>
    </xf>
    <xf numFmtId="164" fontId="37" fillId="6" borderId="3" xfId="1" applyNumberFormat="1" applyFont="1" applyFill="1" applyBorder="1" applyAlignment="1">
      <alignment vertical="center"/>
    </xf>
    <xf numFmtId="44" fontId="39" fillId="6" borderId="5" xfId="8" applyFont="1" applyFill="1" applyBorder="1" applyAlignment="1">
      <alignment horizontal="center" vertical="center"/>
    </xf>
    <xf numFmtId="44" fontId="37" fillId="6" borderId="9" xfId="8" applyFont="1" applyFill="1" applyBorder="1" applyAlignment="1">
      <alignment vertical="center"/>
    </xf>
    <xf numFmtId="43" fontId="47" fillId="6" borderId="9" xfId="1" applyNumberFormat="1" applyFont="1" applyFill="1" applyBorder="1" applyAlignment="1">
      <alignment vertical="center"/>
    </xf>
    <xf numFmtId="41" fontId="39" fillId="10" borderId="11" xfId="1" applyNumberFormat="1" applyFont="1" applyFill="1" applyBorder="1" applyAlignment="1">
      <alignment horizontal="left" vertical="center"/>
    </xf>
    <xf numFmtId="41" fontId="39" fillId="10" borderId="5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left" vertical="center"/>
    </xf>
    <xf numFmtId="43" fontId="39" fillId="10" borderId="12" xfId="1" applyNumberFormat="1" applyFont="1" applyFill="1" applyBorder="1" applyAlignment="1">
      <alignment horizontal="left" vertical="center"/>
    </xf>
    <xf numFmtId="43" fontId="39" fillId="10" borderId="5" xfId="1" applyNumberFormat="1" applyFont="1" applyFill="1" applyBorder="1" applyAlignment="1">
      <alignment horizontal="left" vertical="center"/>
    </xf>
    <xf numFmtId="43" fontId="39" fillId="10" borderId="13" xfId="1" applyNumberFormat="1" applyFont="1" applyFill="1" applyBorder="1" applyAlignment="1">
      <alignment horizontal="left" vertical="center"/>
    </xf>
    <xf numFmtId="43" fontId="39" fillId="10" borderId="14" xfId="1" applyNumberFormat="1" applyFont="1" applyFill="1" applyBorder="1" applyAlignment="1">
      <alignment horizontal="center" vertical="center"/>
    </xf>
    <xf numFmtId="43" fontId="39" fillId="10" borderId="12" xfId="1" applyNumberFormat="1" applyFont="1" applyFill="1" applyBorder="1" applyAlignment="1">
      <alignment horizontal="center" vertical="center"/>
    </xf>
    <xf numFmtId="43" fontId="39" fillId="10" borderId="13" xfId="1" applyNumberFormat="1" applyFont="1" applyFill="1" applyBorder="1" applyAlignment="1">
      <alignment horizontal="center" vertical="center"/>
    </xf>
    <xf numFmtId="43" fontId="39" fillId="6" borderId="5" xfId="1" applyNumberFormat="1" applyFont="1" applyFill="1" applyBorder="1" applyAlignment="1">
      <alignment horizontal="center" vertical="center"/>
    </xf>
    <xf numFmtId="0" fontId="30" fillId="15" borderId="20" xfId="0" applyFont="1" applyFill="1" applyBorder="1" applyAlignment="1">
      <alignment vertical="center" wrapText="1"/>
    </xf>
    <xf numFmtId="0" fontId="30" fillId="15" borderId="19" xfId="0" quotePrefix="1" applyFont="1" applyFill="1" applyBorder="1" applyAlignment="1">
      <alignment horizontal="left" vertical="center" wrapText="1"/>
    </xf>
    <xf numFmtId="0" fontId="30" fillId="15" borderId="20" xfId="0" quotePrefix="1" applyFont="1" applyFill="1" applyBorder="1" applyAlignment="1">
      <alignment horizontal="left" vertical="center" wrapText="1"/>
    </xf>
    <xf numFmtId="0" fontId="30" fillId="15" borderId="20" xfId="0" applyFont="1" applyFill="1" applyBorder="1" applyAlignment="1">
      <alignment horizontal="left" vertical="center" wrapText="1"/>
    </xf>
    <xf numFmtId="0" fontId="29" fillId="15" borderId="20" xfId="1" applyFont="1" applyFill="1" applyBorder="1" applyAlignment="1">
      <alignment vertical="center" wrapText="1"/>
    </xf>
    <xf numFmtId="166" fontId="30" fillId="15" borderId="20" xfId="0" applyNumberFormat="1" applyFont="1" applyFill="1" applyBorder="1" applyAlignment="1">
      <alignment horizontal="center" vertical="center" wrapText="1"/>
    </xf>
    <xf numFmtId="0" fontId="30" fillId="15" borderId="20" xfId="0" applyFont="1" applyFill="1" applyBorder="1" applyAlignment="1">
      <alignment vertical="center"/>
    </xf>
    <xf numFmtId="0" fontId="29" fillId="15" borderId="20" xfId="1" applyFont="1" applyFill="1" applyBorder="1" applyAlignment="1">
      <alignment vertical="center"/>
    </xf>
    <xf numFmtId="166" fontId="30" fillId="15" borderId="20" xfId="0" applyNumberFormat="1" applyFont="1" applyFill="1" applyBorder="1" applyAlignment="1">
      <alignment horizontal="center" vertical="center"/>
    </xf>
    <xf numFmtId="166" fontId="30" fillId="15" borderId="20" xfId="0" quotePrefix="1" applyNumberFormat="1" applyFont="1" applyFill="1" applyBorder="1" applyAlignment="1">
      <alignment horizontal="center" vertical="center" wrapText="1"/>
    </xf>
    <xf numFmtId="0" fontId="30" fillId="15" borderId="19" xfId="0" quotePrefix="1" applyFont="1" applyFill="1" applyBorder="1" applyAlignment="1">
      <alignment horizontal="left" vertical="center"/>
    </xf>
    <xf numFmtId="0" fontId="30" fillId="15" borderId="20" xfId="0" quotePrefix="1" applyFont="1" applyFill="1" applyBorder="1" applyAlignment="1">
      <alignment horizontal="left" vertical="center"/>
    </xf>
    <xf numFmtId="166" fontId="30" fillId="15" borderId="20" xfId="0" quotePrefix="1" applyNumberFormat="1" applyFont="1" applyFill="1" applyBorder="1" applyAlignment="1">
      <alignment horizontal="center" vertical="center"/>
    </xf>
    <xf numFmtId="0" fontId="30" fillId="15" borderId="15" xfId="0" quotePrefix="1" applyFont="1" applyFill="1" applyBorder="1" applyAlignment="1">
      <alignment horizontal="left" vertical="center"/>
    </xf>
    <xf numFmtId="0" fontId="30" fillId="15" borderId="16" xfId="0" applyFont="1" applyFill="1" applyBorder="1" applyAlignment="1">
      <alignment vertical="center"/>
    </xf>
    <xf numFmtId="0" fontId="30" fillId="15" borderId="16" xfId="0" quotePrefix="1" applyFont="1" applyFill="1" applyBorder="1" applyAlignment="1">
      <alignment horizontal="left" vertical="center" wrapText="1"/>
    </xf>
    <xf numFmtId="0" fontId="30" fillId="15" borderId="16" xfId="0" applyFont="1" applyFill="1" applyBorder="1" applyAlignment="1">
      <alignment horizontal="left" vertical="center" wrapText="1"/>
    </xf>
    <xf numFmtId="0" fontId="29" fillId="15" borderId="16" xfId="1" applyFont="1" applyFill="1" applyBorder="1" applyAlignment="1">
      <alignment vertical="center"/>
    </xf>
    <xf numFmtId="166" fontId="30" fillId="15" borderId="16" xfId="0" applyNumberFormat="1" applyFont="1" applyFill="1" applyBorder="1" applyAlignment="1">
      <alignment horizontal="center" vertical="center"/>
    </xf>
    <xf numFmtId="0" fontId="30" fillId="16" borderId="19" xfId="0" quotePrefix="1" applyFont="1" applyFill="1" applyBorder="1" applyAlignment="1">
      <alignment horizontal="left" vertical="center" wrapText="1"/>
    </xf>
    <xf numFmtId="0" fontId="30" fillId="16" borderId="23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vertical="center" wrapText="1"/>
    </xf>
    <xf numFmtId="0" fontId="30" fillId="16" borderId="20" xfId="0" quotePrefix="1" applyFont="1" applyFill="1" applyBorder="1" applyAlignment="1">
      <alignment horizontal="left" vertical="center" wrapText="1"/>
    </xf>
    <xf numFmtId="0" fontId="30" fillId="16" borderId="20" xfId="0" applyFont="1" applyFill="1" applyBorder="1" applyAlignment="1">
      <alignment horizontal="left" vertical="center" wrapText="1"/>
    </xf>
    <xf numFmtId="0" fontId="29" fillId="16" borderId="20" xfId="1" applyFont="1" applyFill="1" applyBorder="1" applyAlignment="1">
      <alignment vertical="center" wrapText="1"/>
    </xf>
    <xf numFmtId="0" fontId="30" fillId="16" borderId="20" xfId="0" applyFont="1" applyFill="1" applyBorder="1" applyAlignment="1">
      <alignment vertical="center"/>
    </xf>
    <xf numFmtId="0" fontId="29" fillId="16" borderId="20" xfId="1" applyFont="1" applyFill="1" applyBorder="1" applyAlignment="1">
      <alignment vertical="center"/>
    </xf>
    <xf numFmtId="0" fontId="30" fillId="16" borderId="19" xfId="0" quotePrefix="1" applyFont="1" applyFill="1" applyBorder="1" applyAlignment="1">
      <alignment horizontal="left" vertical="center"/>
    </xf>
    <xf numFmtId="0" fontId="30" fillId="16" borderId="23" xfId="0" quotePrefix="1" applyFont="1" applyFill="1" applyBorder="1" applyAlignment="1">
      <alignment horizontal="left" vertical="center"/>
    </xf>
    <xf numFmtId="0" fontId="30" fillId="16" borderId="20" xfId="0" quotePrefix="1" applyFont="1" applyFill="1" applyBorder="1" applyAlignment="1">
      <alignment horizontal="left" vertical="center"/>
    </xf>
    <xf numFmtId="0" fontId="30" fillId="16" borderId="15" xfId="0" quotePrefix="1" applyFont="1" applyFill="1" applyBorder="1" applyAlignment="1">
      <alignment horizontal="left" vertical="center"/>
    </xf>
    <xf numFmtId="0" fontId="30" fillId="16" borderId="21" xfId="0" quotePrefix="1" applyFont="1" applyFill="1" applyBorder="1" applyAlignment="1">
      <alignment horizontal="left" vertical="center"/>
    </xf>
    <xf numFmtId="0" fontId="30" fillId="16" borderId="16" xfId="0" applyFont="1" applyFill="1" applyBorder="1" applyAlignment="1">
      <alignment vertical="center"/>
    </xf>
    <xf numFmtId="0" fontId="30" fillId="16" borderId="16" xfId="0" quotePrefix="1" applyFont="1" applyFill="1" applyBorder="1" applyAlignment="1">
      <alignment horizontal="left" vertical="center" wrapText="1"/>
    </xf>
    <xf numFmtId="0" fontId="30" fillId="16" borderId="16" xfId="0" applyFont="1" applyFill="1" applyBorder="1" applyAlignment="1">
      <alignment horizontal="left" vertical="center" wrapText="1"/>
    </xf>
    <xf numFmtId="0" fontId="29" fillId="16" borderId="16" xfId="1" applyFont="1" applyFill="1" applyBorder="1" applyAlignment="1">
      <alignment vertical="center"/>
    </xf>
    <xf numFmtId="3" fontId="9" fillId="6" borderId="1" xfId="1" applyNumberFormat="1" applyFont="1" applyFill="1" applyBorder="1" applyAlignment="1">
      <alignment horizontal="center" vertical="center" wrapText="1"/>
    </xf>
    <xf numFmtId="3" fontId="9" fillId="6" borderId="9" xfId="1" applyNumberFormat="1" applyFont="1" applyFill="1" applyBorder="1" applyAlignment="1">
      <alignment horizontal="center" vertical="center" wrapText="1"/>
    </xf>
    <xf numFmtId="0" fontId="29" fillId="16" borderId="6" xfId="1" applyFont="1" applyFill="1" applyBorder="1" applyAlignment="1">
      <alignment horizontal="center" vertical="center" wrapText="1"/>
    </xf>
    <xf numFmtId="0" fontId="29" fillId="16" borderId="7" xfId="1" applyFont="1" applyFill="1" applyBorder="1" applyAlignment="1">
      <alignment horizontal="center" vertical="center" wrapText="1"/>
    </xf>
    <xf numFmtId="0" fontId="29" fillId="16" borderId="8" xfId="1" applyFont="1" applyFill="1" applyBorder="1" applyAlignment="1">
      <alignment horizontal="center" vertical="center" wrapText="1"/>
    </xf>
    <xf numFmtId="0" fontId="29" fillId="16" borderId="1" xfId="1" applyFont="1" applyFill="1" applyBorder="1" applyAlignment="1">
      <alignment horizontal="center" vertical="center" wrapText="1"/>
    </xf>
    <xf numFmtId="0" fontId="29" fillId="16" borderId="2" xfId="1" applyFont="1" applyFill="1" applyBorder="1" applyAlignment="1">
      <alignment horizontal="center" vertical="center" wrapText="1"/>
    </xf>
    <xf numFmtId="0" fontId="29" fillId="16" borderId="3" xfId="1" applyFont="1" applyFill="1" applyBorder="1" applyAlignment="1">
      <alignment horizontal="center" vertical="center" wrapText="1"/>
    </xf>
    <xf numFmtId="0" fontId="40" fillId="0" borderId="0" xfId="1" applyFont="1" applyAlignment="1">
      <alignment vertical="center" wrapText="1"/>
    </xf>
    <xf numFmtId="43" fontId="39" fillId="9" borderId="13" xfId="1" applyNumberFormat="1" applyFont="1" applyFill="1" applyBorder="1" applyAlignment="1">
      <alignment horizontal="left" vertical="center"/>
    </xf>
    <xf numFmtId="0" fontId="6" fillId="0" borderId="0" xfId="1" applyFont="1" applyAlignment="1">
      <alignment horizontal="center" vertical="top"/>
    </xf>
    <xf numFmtId="0" fontId="8" fillId="2" borderId="27" xfId="1" applyFont="1" applyFill="1" applyBorder="1" applyAlignment="1">
      <alignment horizontal="center" vertical="center"/>
    </xf>
    <xf numFmtId="9" fontId="30" fillId="4" borderId="20" xfId="5" applyFont="1" applyFill="1" applyBorder="1" applyAlignment="1">
      <alignment horizontal="center" vertical="center"/>
    </xf>
    <xf numFmtId="9" fontId="30" fillId="4" borderId="16" xfId="5" applyFont="1" applyFill="1" applyBorder="1" applyAlignment="1">
      <alignment horizontal="center" vertical="center"/>
    </xf>
    <xf numFmtId="0" fontId="0" fillId="0" borderId="36" xfId="0" applyBorder="1"/>
    <xf numFmtId="0" fontId="31" fillId="0" borderId="37" xfId="7" applyFont="1" applyBorder="1" applyAlignment="1">
      <alignment vertical="center"/>
    </xf>
    <xf numFmtId="41" fontId="39" fillId="10" borderId="12" xfId="1" applyNumberFormat="1" applyFont="1" applyFill="1" applyBorder="1" applyAlignment="1">
      <alignment horizontal="left" vertical="center"/>
    </xf>
    <xf numFmtId="41" fontId="39" fillId="14" borderId="5" xfId="1" applyNumberFormat="1" applyFont="1" applyFill="1" applyBorder="1" applyAlignment="1">
      <alignment horizontal="left" vertical="center"/>
    </xf>
    <xf numFmtId="0" fontId="39" fillId="0" borderId="4" xfId="9" applyFont="1" applyBorder="1" applyAlignment="1">
      <alignment horizontal="left" vertical="center"/>
    </xf>
    <xf numFmtId="0" fontId="37" fillId="0" borderId="4" xfId="1" applyFont="1" applyBorder="1" applyAlignment="1">
      <alignment horizontal="left" vertical="center" wrapText="1"/>
    </xf>
    <xf numFmtId="0" fontId="18" fillId="5" borderId="38" xfId="9" applyFont="1" applyFill="1" applyBorder="1" applyAlignment="1">
      <alignment horizontal="left" vertical="center" wrapText="1"/>
    </xf>
    <xf numFmtId="0" fontId="63" fillId="14" borderId="34" xfId="9" applyFont="1" applyFill="1" applyBorder="1" applyAlignment="1">
      <alignment horizontal="left" vertical="center" wrapText="1"/>
    </xf>
    <xf numFmtId="0" fontId="38" fillId="15" borderId="0" xfId="9" applyFont="1" applyFill="1" applyAlignment="1">
      <alignment vertical="center" wrapText="1"/>
    </xf>
    <xf numFmtId="0" fontId="22" fillId="15" borderId="0" xfId="1" applyFont="1" applyFill="1" applyAlignment="1">
      <alignment vertical="center" wrapText="1"/>
    </xf>
    <xf numFmtId="0" fontId="39" fillId="16" borderId="0" xfId="1" applyFont="1" applyFill="1" applyAlignment="1">
      <alignment vertical="center" wrapText="1"/>
    </xf>
    <xf numFmtId="0" fontId="30" fillId="15" borderId="39" xfId="0" quotePrefix="1" applyFont="1" applyFill="1" applyBorder="1" applyAlignment="1">
      <alignment horizontal="left" vertical="center"/>
    </xf>
    <xf numFmtId="0" fontId="30" fillId="15" borderId="40" xfId="0" quotePrefix="1" applyFont="1" applyFill="1" applyBorder="1" applyAlignment="1">
      <alignment horizontal="left" vertical="center"/>
    </xf>
    <xf numFmtId="166" fontId="30" fillId="15" borderId="40" xfId="0" quotePrefix="1" applyNumberFormat="1" applyFont="1" applyFill="1" applyBorder="1" applyAlignment="1">
      <alignment horizontal="center" vertical="center"/>
    </xf>
    <xf numFmtId="2" fontId="30" fillId="4" borderId="40" xfId="0" applyNumberFormat="1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 wrapText="1"/>
    </xf>
    <xf numFmtId="9" fontId="30" fillId="4" borderId="40" xfId="5" applyFont="1" applyFill="1" applyBorder="1" applyAlignment="1">
      <alignment horizontal="center" vertical="center"/>
    </xf>
    <xf numFmtId="166" fontId="30" fillId="4" borderId="40" xfId="3" applyNumberFormat="1" applyFont="1" applyFill="1" applyBorder="1" applyAlignment="1">
      <alignment horizontal="center" vertical="center" wrapText="1"/>
    </xf>
    <xf numFmtId="167" fontId="30" fillId="4" borderId="20" xfId="3" applyNumberFormat="1" applyFont="1" applyFill="1" applyBorder="1" applyAlignment="1">
      <alignment horizontal="center" vertical="center" wrapText="1"/>
    </xf>
    <xf numFmtId="167" fontId="29" fillId="6" borderId="20" xfId="1" applyNumberFormat="1" applyFont="1" applyFill="1" applyBorder="1" applyAlignment="1">
      <alignment horizontal="center" vertical="center" wrapText="1"/>
    </xf>
    <xf numFmtId="2" fontId="37" fillId="14" borderId="3" xfId="5" applyNumberFormat="1" applyFont="1" applyFill="1" applyBorder="1" applyAlignment="1">
      <alignment horizontal="center" vertical="center"/>
    </xf>
    <xf numFmtId="168" fontId="29" fillId="6" borderId="20" xfId="1" applyNumberFormat="1" applyFont="1" applyFill="1" applyBorder="1" applyAlignment="1">
      <alignment horizontal="center" vertical="center" wrapText="1"/>
    </xf>
    <xf numFmtId="168" fontId="30" fillId="4" borderId="20" xfId="0" applyNumberFormat="1" applyFont="1" applyFill="1" applyBorder="1" applyAlignment="1">
      <alignment horizontal="center" vertical="center" wrapText="1"/>
    </xf>
    <xf numFmtId="168" fontId="30" fillId="4" borderId="20" xfId="5" applyNumberFormat="1" applyFont="1" applyFill="1" applyBorder="1" applyAlignment="1">
      <alignment horizontal="center" vertical="center" wrapText="1"/>
    </xf>
    <xf numFmtId="4" fontId="30" fillId="4" borderId="20" xfId="5" applyNumberFormat="1" applyFont="1" applyFill="1" applyBorder="1" applyAlignment="1">
      <alignment horizontal="center" vertical="center" wrapText="1"/>
    </xf>
    <xf numFmtId="0" fontId="38" fillId="15" borderId="12" xfId="9" applyFont="1" applyFill="1" applyBorder="1" applyAlignment="1">
      <alignment vertical="center"/>
    </xf>
    <xf numFmtId="165" fontId="63" fillId="14" borderId="34" xfId="9" applyNumberFormat="1" applyFont="1" applyFill="1" applyBorder="1" applyAlignment="1">
      <alignment vertical="center"/>
    </xf>
    <xf numFmtId="0" fontId="52" fillId="0" borderId="1" xfId="1" applyFont="1" applyBorder="1" applyAlignment="1">
      <alignment horizontal="center" vertical="center" wrapText="1"/>
    </xf>
    <xf numFmtId="0" fontId="52" fillId="0" borderId="2" xfId="1" applyFont="1" applyBorder="1" applyAlignment="1">
      <alignment horizontal="center" vertical="center" wrapText="1"/>
    </xf>
    <xf numFmtId="0" fontId="52" fillId="0" borderId="3" xfId="1" applyFont="1" applyBorder="1" applyAlignment="1">
      <alignment horizontal="center" vertical="center" wrapText="1"/>
    </xf>
    <xf numFmtId="0" fontId="52" fillId="3" borderId="1" xfId="1" applyFont="1" applyFill="1" applyBorder="1" applyAlignment="1">
      <alignment horizontal="center" vertical="center" wrapText="1"/>
    </xf>
    <xf numFmtId="0" fontId="52" fillId="3" borderId="3" xfId="1" applyFont="1" applyFill="1" applyBorder="1" applyAlignment="1">
      <alignment horizontal="center" vertical="center" wrapText="1"/>
    </xf>
    <xf numFmtId="0" fontId="50" fillId="0" borderId="7" xfId="1" applyFont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2" fillId="0" borderId="2" xfId="1" applyFont="1" applyBorder="1" applyAlignment="1">
      <alignment horizontal="center" vertical="center"/>
    </xf>
    <xf numFmtId="0" fontId="52" fillId="0" borderId="3" xfId="1" applyFont="1" applyBorder="1" applyAlignment="1">
      <alignment horizontal="center" vertical="center"/>
    </xf>
  </cellXfs>
  <cellStyles count="21">
    <cellStyle name="Currency" xfId="8" builtinId="4"/>
    <cellStyle name="Currency 2" xfId="2"/>
    <cellStyle name="Currency 2 2" xfId="16"/>
    <cellStyle name="Currency 3" xfId="15"/>
    <cellStyle name="Currency 3 3" xfId="18"/>
    <cellStyle name="Currency 4" xfId="17"/>
    <cellStyle name="Normal" xfId="0" builtinId="0"/>
    <cellStyle name="Normal 2" xfId="1"/>
    <cellStyle name="Normal 2 2" xfId="6"/>
    <cellStyle name="Normal 2 3" xfId="7"/>
    <cellStyle name="Normal 2 3 2" xfId="9"/>
    <cellStyle name="Normal 3" xfId="11"/>
    <cellStyle name="Normal 5" xfId="4"/>
    <cellStyle name="Normal 5 4" xfId="12"/>
    <cellStyle name="Normal 6" xfId="14"/>
    <cellStyle name="Percent" xfId="5" builtinId="5"/>
    <cellStyle name="Percent 2" xfId="3"/>
    <cellStyle name="Percent 2 2" xfId="10"/>
    <cellStyle name="Percent 2 3" xfId="13"/>
    <cellStyle name="Percent 3" xfId="19"/>
    <cellStyle name="Percent 3 2" xfId="20"/>
  </cellStyles>
  <dxfs count="3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79998168889431442"/>
        </patternFill>
      </fill>
    </dxf>
    <dxf>
      <font>
        <b/>
        <i val="0"/>
      </font>
      <fill>
        <patternFill>
          <bgColor theme="8" tint="0.79998168889431442"/>
        </patternFill>
      </fill>
    </dxf>
  </dxfs>
  <tableStyles count="0" defaultTableStyle="TableStyleMedium2" defaultPivotStyle="PivotStyleLight16"/>
  <colors>
    <mruColors>
      <color rgb="FFFFF2CC"/>
      <color rgb="FFDDE5F7"/>
      <color rgb="FFA2B8E8"/>
      <color rgb="FFB5C6ED"/>
      <color rgb="FFCAD6F2"/>
      <color rgb="FF5B80DB"/>
      <color rgb="FF7997E1"/>
      <color rgb="FFB4C5EE"/>
      <color rgb="FFEAEFFA"/>
      <color rgb="FFD3DD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1698625</xdr:colOff>
      <xdr:row>1</xdr:row>
      <xdr:rowOff>111125</xdr:rowOff>
    </xdr:from>
    <xdr:to>
      <xdr:col>19</xdr:col>
      <xdr:colOff>1675220</xdr:colOff>
      <xdr:row>2</xdr:row>
      <xdr:rowOff>59267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EAB220-B99F-45A5-970C-72A9AF3F2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78775" y="1454150"/>
          <a:ext cx="2138771" cy="9101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2.%20Capacity%20&amp;%20Allocation\2.1%20Capacity%20Planning\Capacity%20Master%20File_v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OneDrive%20-%20adidas/Desktop/ANSWER%20III_MAR47_PVN_FW2023_47212839_CR2_TN_20220811_1110-20Mar2023_NEW.xls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nodRangarajan/Dropbox%20(Personal)/Brooks%20Brothers%20PLM/Detailed%20Design%20Sessions/Vendor_Library/karat_mms__field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cqyfs01/share/&#20108;&#35838;&#36164;&#26009;/JULIET/CBD/FW07%20CBD/Adistar%20Trapoline(AD-530)/pfr/ADISTAR%20TRAMPOLINE-M-SS07-PFR-011985-TN-5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linjav/MACRO/FCT%20Macro%20V2.6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idasgroup-my.sharepoint.com/personal/javier_galindo-brito_reebok_com/Documents/Desktop/ANSWER%20III_MAR47_PVN_FW2023_47212839_CR2_TN_20220811_1110-20Mar2023_NEW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Capacity-data"/>
      <sheetName val="Factorylist"/>
      <sheetName val="Factory"/>
      <sheetName val="DemandPrj"/>
      <sheetName val="adidasSBP"/>
      <sheetName val="ReebokSBP"/>
      <sheetName val="Vul"/>
      <sheetName val="NEO"/>
      <sheetName val="Logsheet"/>
      <sheetName val="explanation"/>
      <sheetName val="lookup"/>
      <sheetName val="demandtable"/>
      <sheetName val="capvtable"/>
      <sheetName val="Kanadia XC TR M"/>
      <sheetName val="OS labor reference table"/>
      <sheetName val="Labor Count"/>
      <sheetName val="Deckblatt"/>
      <sheetName val="Printing"/>
      <sheetName val="Retro Alpine Boot M  2 clr"/>
      <sheetName val="Eva Retro Alpine Boot M (2)"/>
      <sheetName val="Eva Retro Alpine Boot M (1) "/>
      <sheetName val="Super Star Lite II M "/>
      <sheetName val="JS Instinct Inf Special Color"/>
      <sheetName val="RETRO ALPINE BOOT  2 clr"/>
      <sheetName val="Rivalry HI M Special"/>
      <sheetName val="Rivalry HI M EVA Spc"/>
      <sheetName val="CC Chill MW"/>
      <sheetName val="IP CC Chill MW"/>
      <sheetName val="IP Clima Warm Blast"/>
      <sheetName val="Adi Ease Surf M"/>
      <sheetName val="Samba Hemp M "/>
      <sheetName val="Super Star M white2"/>
      <sheetName val="Samba Hemp M Special Color"/>
      <sheetName val="Basket Profi M"/>
      <sheetName val="Eva ZX TR Mid M (1) Special"/>
      <sheetName val="Eva ZX TR Mid M (2)"/>
      <sheetName val="FA SS II J BL Toe Cap "/>
      <sheetName val="Eva ZX TR Mid M  (2)"/>
      <sheetName val="ZX TR Mid M 2 clr Special"/>
      <sheetName val="Adi Ease Surf W Foxing"/>
      <sheetName val="Adria PS W"/>
      <sheetName val="Grand Prix MW"/>
      <sheetName val="ZX TR Mid M"/>
      <sheetName val="Outsole Cupie 2 Mid"/>
      <sheetName val="Pro Conference HI K"/>
      <sheetName val="Rivalry LO M EVA"/>
      <sheetName val="Rivalry LO M Special"/>
      <sheetName val="Lightster Stability M Special"/>
      <sheetName val="DC EVA Kanadia TR M "/>
      <sheetName val="Outsole Cupie 2 Mid Lace 2.0 M"/>
      <sheetName val="Rear Foot  ZX TR Mid M (1) Spc"/>
      <sheetName val="S Star Lite II M Toe Cap"/>
      <sheetName val="W'S IP"/>
      <sheetName val="JS Instinct HI Leopard M"/>
      <sheetName val="Toe Bumper M"/>
      <sheetName val="Adicourt AS M"/>
      <sheetName val="LA Trainer III M "/>
      <sheetName val="OS ZX 750 M"/>
      <sheetName val="Ink Consumption"/>
      <sheetName val="Ink Price Data"/>
      <sheetName val="LOH data base"/>
      <sheetName val="drop_down"/>
      <sheetName val="Slides C2B"/>
      <sheetName val="NoSew"/>
      <sheetName val="EVA"/>
      <sheetName val="Sheet1"/>
      <sheetName val="shoe data"/>
      <sheetName val="data MP"/>
      <sheetName val="dropdown"/>
      <sheetName val="Emboss-Weld"/>
      <sheetName val="HpM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adidas</v>
          </cell>
          <cell r="B2" t="str">
            <v>Agent</v>
          </cell>
          <cell r="C2" t="str">
            <v>AGENT</v>
          </cell>
          <cell r="D2" t="str">
            <v>Argentina</v>
          </cell>
          <cell r="E2" t="str">
            <v>AG</v>
          </cell>
        </row>
        <row r="3">
          <cell r="A3" t="str">
            <v>Reebok</v>
          </cell>
          <cell r="B3" t="str">
            <v>Apache</v>
          </cell>
          <cell r="C3" t="str">
            <v>LO BRAZIL</v>
          </cell>
          <cell r="D3" t="str">
            <v>Bangladesh</v>
          </cell>
          <cell r="E3" t="str">
            <v>CC</v>
          </cell>
        </row>
        <row r="4">
          <cell r="A4" t="str">
            <v>Group</v>
          </cell>
          <cell r="B4" t="str">
            <v>Chingluh</v>
          </cell>
          <cell r="C4" t="str">
            <v>LO CHENNAI</v>
          </cell>
          <cell r="D4" t="str">
            <v>Brazil</v>
          </cell>
          <cell r="E4" t="str">
            <v>SE</v>
          </cell>
        </row>
        <row r="5">
          <cell r="B5" t="str">
            <v>EU/LAM</v>
          </cell>
          <cell r="C5" t="str">
            <v>LO EUROPE</v>
          </cell>
          <cell r="D5" t="str">
            <v>China</v>
          </cell>
          <cell r="E5" t="str">
            <v>SL</v>
          </cell>
        </row>
        <row r="6">
          <cell r="B6" t="str">
            <v>HS Corp</v>
          </cell>
          <cell r="C6" t="str">
            <v>LO FUZHOU</v>
          </cell>
          <cell r="D6" t="str">
            <v>Germany</v>
          </cell>
          <cell r="E6" t="str">
            <v>SP</v>
          </cell>
        </row>
        <row r="7">
          <cell r="B7" t="str">
            <v>Pou Chen</v>
          </cell>
          <cell r="C7" t="str">
            <v>LO GUANGZHOU</v>
          </cell>
          <cell r="D7" t="str">
            <v>India</v>
          </cell>
          <cell r="E7" t="str">
            <v>VU</v>
          </cell>
        </row>
        <row r="8">
          <cell r="B8" t="str">
            <v>PRB&amp;EVN</v>
          </cell>
          <cell r="C8" t="str">
            <v>LO INDONESIA</v>
          </cell>
          <cell r="D8" t="str">
            <v>Indonesia</v>
          </cell>
        </row>
        <row r="9">
          <cell r="B9" t="str">
            <v>Shangway</v>
          </cell>
          <cell r="C9" t="str">
            <v>LO KOREA</v>
          </cell>
          <cell r="D9" t="str">
            <v>Italy</v>
          </cell>
        </row>
        <row r="10">
          <cell r="B10" t="str">
            <v>Sino-Boston</v>
          </cell>
          <cell r="C10" t="str">
            <v>LO THAILAND</v>
          </cell>
          <cell r="D10" t="str">
            <v>Philippines</v>
          </cell>
        </row>
        <row r="11">
          <cell r="B11" t="str">
            <v>Sole-Concept</v>
          </cell>
          <cell r="C11" t="str">
            <v>LO VIETNAM</v>
          </cell>
          <cell r="D11" t="str">
            <v>Thailand</v>
          </cell>
        </row>
        <row r="12">
          <cell r="B12" t="str">
            <v>Others</v>
          </cell>
          <cell r="D12" t="str">
            <v>Vietnam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Low/mid cut</v>
          </cell>
        </row>
        <row r="3">
          <cell r="B3" t="str">
            <v>High cut</v>
          </cell>
        </row>
        <row r="4">
          <cell r="B4" t="str">
            <v>Boot cut</v>
          </cell>
        </row>
        <row r="5">
          <cell r="B5" t="str">
            <v>None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Pack"/>
      <sheetName val="Design Card"/>
      <sheetName val="MMS"/>
    </sheetNames>
    <sheetDataSet>
      <sheetData sheetId="0" refreshError="1">
        <row r="2">
          <cell r="M2" t="str">
            <v xml:space="preserve">Manual </v>
          </cell>
        </row>
        <row r="3">
          <cell r="M3" t="str">
            <v>Mat. DB</v>
          </cell>
        </row>
        <row r="4">
          <cell r="M4" t="str">
            <v>List</v>
          </cell>
        </row>
        <row r="5">
          <cell r="M5" t="str">
            <v>Cal.</v>
          </cell>
        </row>
        <row r="6">
          <cell r="M6" t="str">
            <v>Auto Gen.</v>
          </cell>
        </row>
        <row r="7">
          <cell r="M7" t="str">
            <v>Cust. Form</v>
          </cell>
        </row>
        <row r="8">
          <cell r="M8" t="str">
            <v>Yes/No</v>
          </cell>
        </row>
        <row r="9">
          <cell r="M9" t="str">
            <v xml:space="preserve">Dyn. List </v>
          </cell>
        </row>
        <row r="10">
          <cell r="M10" t="str">
            <v>BOM Page</v>
          </cell>
        </row>
        <row r="11">
          <cell r="M11" t="str">
            <v>Auto Pop.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 refreshError="1"/>
      <sheetData sheetId="1" refreshError="1"/>
      <sheetData sheetId="2" refreshError="1"/>
      <sheetData sheetId="3">
        <row r="2">
          <cell r="W2" t="str">
            <v>Small size</v>
          </cell>
          <cell r="X2" t="str">
            <v>4-6 Oz canvas</v>
          </cell>
          <cell r="Y2">
            <v>1</v>
          </cell>
          <cell r="Z2" t="str">
            <v>3D printing</v>
          </cell>
          <cell r="AB2" t="str">
            <v>color</v>
          </cell>
          <cell r="AC2" t="str">
            <v>1-15 cm²</v>
          </cell>
        </row>
        <row r="3">
          <cell r="W3" t="str">
            <v>Constant logo</v>
          </cell>
          <cell r="X3" t="str">
            <v>8-10 Oz canvas</v>
          </cell>
          <cell r="Y3">
            <v>2</v>
          </cell>
          <cell r="Z3" t="str">
            <v>Aquatech printing</v>
          </cell>
          <cell r="AB3" t="str">
            <v>Finishing Effect</v>
          </cell>
          <cell r="AC3" t="str">
            <v>16-30 cm²</v>
          </cell>
        </row>
        <row r="4">
          <cell r="W4" t="str">
            <v>Quarter size</v>
          </cell>
          <cell r="X4" t="str">
            <v>Coated leather</v>
          </cell>
          <cell r="Y4">
            <v>3</v>
          </cell>
          <cell r="Z4" t="str">
            <v>Constant logo screen print leather (1 color + 1 finishing)</v>
          </cell>
          <cell r="AC4" t="str">
            <v>31-50 cm²</v>
          </cell>
        </row>
        <row r="5">
          <cell r="W5" t="str">
            <v>Full size</v>
          </cell>
          <cell r="X5" t="str">
            <v>Constant logo</v>
          </cell>
          <cell r="Y5">
            <v>4</v>
          </cell>
          <cell r="Z5" t="str">
            <v>Constant logo screen print leather (1 color)</v>
          </cell>
          <cell r="AC5" t="str">
            <v>51-75 cm²</v>
          </cell>
        </row>
        <row r="6">
          <cell r="W6" t="str">
            <v>Half size</v>
          </cell>
          <cell r="X6" t="str">
            <v>Enamel synthetic</v>
          </cell>
          <cell r="Y6">
            <v>5</v>
          </cell>
          <cell r="Z6" t="str">
            <v>Constant logo screen print leather (2 colors + 1 Finishing)</v>
          </cell>
          <cell r="AC6" t="str">
            <v>76-100 cm²</v>
          </cell>
        </row>
        <row r="7">
          <cell r="X7" t="str">
            <v>Full grain</v>
          </cell>
          <cell r="Y7">
            <v>6</v>
          </cell>
          <cell r="Z7" t="str">
            <v>Constant logo screen print leather (2 colors)</v>
          </cell>
          <cell r="AC7" t="str">
            <v>101-125 cm²</v>
          </cell>
        </row>
        <row r="8">
          <cell r="X8" t="str">
            <v>Heavy textured</v>
          </cell>
          <cell r="Y8">
            <v>7</v>
          </cell>
          <cell r="Z8" t="str">
            <v>Constant logo screen print synth (1 color)</v>
          </cell>
          <cell r="AC8" t="str">
            <v>126-150 cm²</v>
          </cell>
        </row>
        <row r="9">
          <cell r="X9" t="str">
            <v>Lycra</v>
          </cell>
          <cell r="Y9">
            <v>8</v>
          </cell>
          <cell r="Z9" t="str">
            <v>Constant logo screen print synth (1 colors + 1 Finishing)</v>
          </cell>
          <cell r="AC9" t="str">
            <v>151-175 cm²</v>
          </cell>
        </row>
        <row r="10">
          <cell r="X10" t="str">
            <v>Normal synthetic</v>
          </cell>
          <cell r="Z10" t="str">
            <v>Constant logo screen print synth (2 colors + 1 Finishing)</v>
          </cell>
          <cell r="AC10" t="str">
            <v>176-200 cm²</v>
          </cell>
        </row>
        <row r="11">
          <cell r="X11" t="str">
            <v>Nubuck leather</v>
          </cell>
          <cell r="Z11" t="str">
            <v>Constant logo screen print synth (2 colors)</v>
          </cell>
          <cell r="AC11" t="str">
            <v>201-225 cm²</v>
          </cell>
        </row>
        <row r="12">
          <cell r="X12" t="str">
            <v>Nubuck synthetic</v>
          </cell>
          <cell r="Z12" t="str">
            <v>Constant logo screen print textil/ suede/ nubuck (1 color)</v>
          </cell>
          <cell r="AC12" t="str">
            <v>226-250 cm²</v>
          </cell>
        </row>
        <row r="13">
          <cell r="X13" t="str">
            <v>Sandwich with big hole</v>
          </cell>
          <cell r="Z13" t="str">
            <v>Constant logo screen print textil/ suede/ nubuck (1 colors + 1 Finishing)</v>
          </cell>
          <cell r="AC13" t="str">
            <v>251-300 cm²</v>
          </cell>
        </row>
        <row r="14">
          <cell r="X14" t="str">
            <v>Sandwich with tight hole</v>
          </cell>
          <cell r="Z14" t="str">
            <v>Constant logo screen print textil/ suede/ nubuck (2 colors + 1 Finishing)</v>
          </cell>
          <cell r="AC14" t="str">
            <v>301-350 cm²</v>
          </cell>
        </row>
        <row r="15">
          <cell r="X15" t="str">
            <v>Semi clear TPU</v>
          </cell>
          <cell r="Z15" t="str">
            <v>Constant logo screen print textil/ suede/ nubuck (2 colors)</v>
          </cell>
          <cell r="AC15" t="str">
            <v>351-400 cm²</v>
          </cell>
        </row>
        <row r="16">
          <cell r="X16" t="str">
            <v>Single layer with big hole</v>
          </cell>
          <cell r="Z16" t="str">
            <v>Normal printing</v>
          </cell>
          <cell r="AC16" t="str">
            <v>401-450 cm²</v>
          </cell>
        </row>
        <row r="17">
          <cell r="X17" t="str">
            <v>Single layer with tight hole</v>
          </cell>
          <cell r="Z17" t="str">
            <v>Puff printing</v>
          </cell>
          <cell r="AC17" t="str">
            <v>451-500 cm²</v>
          </cell>
        </row>
        <row r="18">
          <cell r="X18" t="str">
            <v>Solid TPU</v>
          </cell>
          <cell r="Z18" t="str">
            <v>Rubberized printing</v>
          </cell>
          <cell r="AC18" t="str">
            <v>501-550 cm²</v>
          </cell>
        </row>
        <row r="19">
          <cell r="X19" t="str">
            <v>Suede leather</v>
          </cell>
          <cell r="AC19" t="str">
            <v>551-600 cm²</v>
          </cell>
        </row>
        <row r="20">
          <cell r="X20" t="str">
            <v>Suede synthetic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"/>
      <sheetName val="LC Printing"/>
      <sheetName val="LC Treatments"/>
      <sheetName val="drop_down"/>
      <sheetName val="LC Cut to Box"/>
      <sheetName val="FCT_CBD"/>
      <sheetName val="Treatment-Bottom"/>
      <sheetName val="Instructions"/>
      <sheetName val="ComponentOrderCalculation"/>
      <sheetName val="Component Order"/>
      <sheetName val="Config"/>
      <sheetName val="Print Template"/>
      <sheetName val="LC Shoe Height"/>
      <sheetName val="Mi Adidas"/>
      <sheetName val="LC NoSew"/>
      <sheetName val="LC Bottom"/>
    </sheetNames>
    <sheetDataSet>
      <sheetData sheetId="0"/>
      <sheetData sheetId="1"/>
      <sheetData sheetId="2"/>
      <sheetData sheetId="3">
        <row r="2">
          <cell r="AO2" t="str">
            <v>1 pair</v>
          </cell>
          <cell r="AP2">
            <v>1</v>
          </cell>
          <cell r="AQ2" t="str">
            <v>Five -Ten</v>
          </cell>
          <cell r="AR2" t="str">
            <v>3.0 – 4.9 mm</v>
          </cell>
          <cell r="AS2" t="str">
            <v>Yes</v>
          </cell>
          <cell r="AV2" t="str">
            <v>1 pair</v>
          </cell>
          <cell r="AW2" t="str">
            <v>Compression molding</v>
          </cell>
          <cell r="AX2" t="str">
            <v>Yes</v>
          </cell>
          <cell r="AY2" t="str">
            <v>Multiple</v>
          </cell>
          <cell r="AZ2" t="str">
            <v>Dual color</v>
          </cell>
          <cell r="BC2" t="str">
            <v>No</v>
          </cell>
          <cell r="BD2" t="str">
            <v>Yes</v>
          </cell>
          <cell r="BM2">
            <v>1</v>
          </cell>
          <cell r="BN2">
            <v>1</v>
          </cell>
        </row>
        <row r="3">
          <cell r="AO3" t="str">
            <v>2 pairs</v>
          </cell>
          <cell r="AP3">
            <v>2</v>
          </cell>
          <cell r="AQ3" t="str">
            <v>Injection Rubber</v>
          </cell>
          <cell r="AR3" t="str">
            <v>5.0 –7.0 mm</v>
          </cell>
          <cell r="AS3" t="str">
            <v>No</v>
          </cell>
          <cell r="AV3" t="str">
            <v>2 pairs</v>
          </cell>
          <cell r="AW3" t="str">
            <v>Die-cut</v>
          </cell>
          <cell r="AX3" t="str">
            <v>No</v>
          </cell>
          <cell r="AY3" t="str">
            <v>None</v>
          </cell>
          <cell r="AZ3" t="str">
            <v>None</v>
          </cell>
          <cell r="BC3" t="str">
            <v>3D Slide Double</v>
          </cell>
          <cell r="BD3" t="str">
            <v>No</v>
          </cell>
          <cell r="BM3">
            <v>2</v>
          </cell>
          <cell r="BN3">
            <v>2</v>
          </cell>
        </row>
        <row r="4">
          <cell r="AO4" t="str">
            <v>3 pairs</v>
          </cell>
          <cell r="AP4">
            <v>3</v>
          </cell>
          <cell r="AQ4" t="str">
            <v>None</v>
          </cell>
          <cell r="AR4" t="str">
            <v>&lt; 3.0 mm</v>
          </cell>
          <cell r="AV4" t="str">
            <v>3 pairs</v>
          </cell>
          <cell r="AW4" t="str">
            <v>Injection molding</v>
          </cell>
          <cell r="AY4" t="str">
            <v>Single</v>
          </cell>
          <cell r="AZ4" t="str">
            <v>Single color</v>
          </cell>
          <cell r="BC4" t="str">
            <v>Top</v>
          </cell>
          <cell r="BM4">
            <v>3</v>
          </cell>
          <cell r="BN4">
            <v>3</v>
          </cell>
        </row>
        <row r="5">
          <cell r="AO5" t="str">
            <v>&gt;=4 pairs</v>
          </cell>
          <cell r="AP5">
            <v>4</v>
          </cell>
          <cell r="AQ5" t="str">
            <v>Particular compound</v>
          </cell>
          <cell r="AR5" t="str">
            <v>&gt; 7.0 mm</v>
          </cell>
          <cell r="AV5" t="str">
            <v>&gt;=4 pairs</v>
          </cell>
          <cell r="AW5" t="str">
            <v>3D Slide Injection molding</v>
          </cell>
          <cell r="AZ5" t="str">
            <v>Three or more colors</v>
          </cell>
          <cell r="BC5" t="str">
            <v>Visible</v>
          </cell>
          <cell r="BM5">
            <v>4</v>
          </cell>
          <cell r="BN5">
            <v>4</v>
          </cell>
        </row>
        <row r="6">
          <cell r="AO6" t="str">
            <v>Injection Rubber</v>
          </cell>
          <cell r="AP6">
            <v>5</v>
          </cell>
          <cell r="AQ6" t="str">
            <v>Regular / Recycle Compound</v>
          </cell>
          <cell r="AR6" t="str">
            <v>None</v>
          </cell>
          <cell r="AV6" t="str">
            <v>3D Slide 1 pair</v>
          </cell>
          <cell r="AW6" t="str">
            <v>None</v>
          </cell>
          <cell r="BM6">
            <v>5</v>
          </cell>
          <cell r="BN6">
            <v>5</v>
          </cell>
        </row>
        <row r="7">
          <cell r="AO7" t="str">
            <v>None</v>
          </cell>
          <cell r="AP7">
            <v>6</v>
          </cell>
          <cell r="AQ7" t="str">
            <v>Stealth C series</v>
          </cell>
          <cell r="AV7" t="str">
            <v>3D Slide 2 pairs</v>
          </cell>
          <cell r="BM7">
            <v>6</v>
          </cell>
          <cell r="BN7">
            <v>6</v>
          </cell>
        </row>
        <row r="8">
          <cell r="AP8">
            <v>7</v>
          </cell>
          <cell r="AQ8" t="str">
            <v>Stealth S series</v>
          </cell>
          <cell r="AV8" t="str">
            <v>None</v>
          </cell>
          <cell r="BM8">
            <v>7</v>
          </cell>
          <cell r="BN8">
            <v>7</v>
          </cell>
        </row>
        <row r="9">
          <cell r="AP9">
            <v>8</v>
          </cell>
          <cell r="AQ9" t="str">
            <v>Sticky rubber</v>
          </cell>
          <cell r="BM9">
            <v>8</v>
          </cell>
          <cell r="BN9">
            <v>8</v>
          </cell>
        </row>
        <row r="10">
          <cell r="AP10">
            <v>9</v>
          </cell>
          <cell r="BM10">
            <v>9</v>
          </cell>
          <cell r="BN10">
            <v>9</v>
          </cell>
        </row>
        <row r="11">
          <cell r="AP11">
            <v>10</v>
          </cell>
          <cell r="BM11">
            <v>10</v>
          </cell>
          <cell r="BN11">
            <v>10</v>
          </cell>
        </row>
        <row r="12">
          <cell r="AP12">
            <v>11</v>
          </cell>
          <cell r="BM12">
            <v>11</v>
          </cell>
          <cell r="BN12">
            <v>11</v>
          </cell>
        </row>
        <row r="13">
          <cell r="AP13">
            <v>12</v>
          </cell>
          <cell r="BM13">
            <v>12</v>
          </cell>
          <cell r="BN13">
            <v>12</v>
          </cell>
        </row>
        <row r="14">
          <cell r="AP14">
            <v>13</v>
          </cell>
          <cell r="BM14">
            <v>13</v>
          </cell>
          <cell r="BN14">
            <v>13</v>
          </cell>
        </row>
        <row r="15">
          <cell r="AP15">
            <v>14</v>
          </cell>
          <cell r="BM15">
            <v>14</v>
          </cell>
          <cell r="BN15">
            <v>14</v>
          </cell>
        </row>
        <row r="16">
          <cell r="AP16">
            <v>15</v>
          </cell>
          <cell r="BM16">
            <v>15</v>
          </cell>
          <cell r="BN16">
            <v>15</v>
          </cell>
        </row>
        <row r="17">
          <cell r="AP17">
            <v>16</v>
          </cell>
          <cell r="BM17">
            <v>16</v>
          </cell>
          <cell r="BN17">
            <v>16</v>
          </cell>
        </row>
        <row r="18">
          <cell r="AP18">
            <v>17</v>
          </cell>
          <cell r="BM18">
            <v>17</v>
          </cell>
          <cell r="BN18">
            <v>17</v>
          </cell>
        </row>
        <row r="19">
          <cell r="AP19">
            <v>18</v>
          </cell>
          <cell r="BM19">
            <v>18</v>
          </cell>
          <cell r="BN19">
            <v>18</v>
          </cell>
        </row>
        <row r="20">
          <cell r="AP20">
            <v>19</v>
          </cell>
          <cell r="BM20">
            <v>19</v>
          </cell>
          <cell r="BN20">
            <v>19</v>
          </cell>
        </row>
        <row r="21">
          <cell r="AP21">
            <v>20</v>
          </cell>
          <cell r="BM21">
            <v>20</v>
          </cell>
          <cell r="BN21">
            <v>20</v>
          </cell>
        </row>
        <row r="22">
          <cell r="BM22">
            <v>21</v>
          </cell>
          <cell r="BN22">
            <v>21</v>
          </cell>
        </row>
        <row r="23">
          <cell r="BM23">
            <v>22</v>
          </cell>
          <cell r="BN23">
            <v>22</v>
          </cell>
        </row>
        <row r="24">
          <cell r="BM24">
            <v>23</v>
          </cell>
          <cell r="BN24">
            <v>23</v>
          </cell>
        </row>
        <row r="25">
          <cell r="BM25">
            <v>24</v>
          </cell>
          <cell r="BN25">
            <v>24</v>
          </cell>
        </row>
        <row r="26">
          <cell r="BM26">
            <v>25</v>
          </cell>
          <cell r="BN26">
            <v>25</v>
          </cell>
        </row>
        <row r="27">
          <cell r="BM27">
            <v>26</v>
          </cell>
          <cell r="BN27">
            <v>26</v>
          </cell>
        </row>
        <row r="28">
          <cell r="BM28">
            <v>27</v>
          </cell>
          <cell r="BN28">
            <v>27</v>
          </cell>
        </row>
        <row r="29">
          <cell r="BM29">
            <v>28</v>
          </cell>
          <cell r="BN29">
            <v>28</v>
          </cell>
        </row>
        <row r="30">
          <cell r="BM30">
            <v>29</v>
          </cell>
          <cell r="BN30">
            <v>29</v>
          </cell>
        </row>
        <row r="31">
          <cell r="BM31">
            <v>30</v>
          </cell>
          <cell r="BN31">
            <v>30</v>
          </cell>
        </row>
        <row r="32">
          <cell r="BM32">
            <v>31</v>
          </cell>
          <cell r="BN32">
            <v>31</v>
          </cell>
        </row>
        <row r="33">
          <cell r="BM33">
            <v>32</v>
          </cell>
          <cell r="BN33">
            <v>32</v>
          </cell>
        </row>
        <row r="34">
          <cell r="BM34">
            <v>33</v>
          </cell>
          <cell r="BN34">
            <v>33</v>
          </cell>
        </row>
        <row r="35">
          <cell r="BM35">
            <v>34</v>
          </cell>
          <cell r="BN35">
            <v>34</v>
          </cell>
        </row>
        <row r="36">
          <cell r="BM36">
            <v>35</v>
          </cell>
          <cell r="BN36">
            <v>35</v>
          </cell>
        </row>
        <row r="37">
          <cell r="BM37">
            <v>36</v>
          </cell>
          <cell r="BN37">
            <v>36</v>
          </cell>
        </row>
        <row r="38">
          <cell r="BM38">
            <v>37</v>
          </cell>
          <cell r="BN38">
            <v>37</v>
          </cell>
        </row>
        <row r="39">
          <cell r="BM39">
            <v>38</v>
          </cell>
          <cell r="BN39">
            <v>38</v>
          </cell>
        </row>
        <row r="40">
          <cell r="BM40">
            <v>39</v>
          </cell>
          <cell r="BN40">
            <v>39</v>
          </cell>
        </row>
        <row r="41">
          <cell r="BM41">
            <v>40</v>
          </cell>
          <cell r="BN41">
            <v>40</v>
          </cell>
        </row>
        <row r="42">
          <cell r="BM42">
            <v>41</v>
          </cell>
          <cell r="BN42">
            <v>41</v>
          </cell>
        </row>
        <row r="43">
          <cell r="BM43">
            <v>42</v>
          </cell>
          <cell r="BN43">
            <v>42</v>
          </cell>
        </row>
        <row r="44">
          <cell r="BM44">
            <v>43</v>
          </cell>
          <cell r="BN44">
            <v>43</v>
          </cell>
        </row>
        <row r="45">
          <cell r="BM45">
            <v>44</v>
          </cell>
          <cell r="BN45">
            <v>44</v>
          </cell>
        </row>
        <row r="46">
          <cell r="BM46">
            <v>45</v>
          </cell>
          <cell r="BN46">
            <v>45</v>
          </cell>
        </row>
        <row r="47">
          <cell r="BM47">
            <v>46</v>
          </cell>
          <cell r="BN47">
            <v>46</v>
          </cell>
        </row>
        <row r="48">
          <cell r="BM48">
            <v>47</v>
          </cell>
          <cell r="BN48">
            <v>47</v>
          </cell>
        </row>
        <row r="49">
          <cell r="BM49">
            <v>48</v>
          </cell>
          <cell r="BN49">
            <v>48</v>
          </cell>
        </row>
        <row r="50">
          <cell r="BM50">
            <v>49</v>
          </cell>
          <cell r="BN50">
            <v>49</v>
          </cell>
        </row>
        <row r="51">
          <cell r="BM51">
            <v>50</v>
          </cell>
          <cell r="BN51">
            <v>50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C1:AO220"/>
  <sheetViews>
    <sheetView showGridLines="0" tabSelected="1" topLeftCell="N16" zoomScale="60" zoomScaleNormal="60" workbookViewId="0">
      <selection activeCell="V25" sqref="V25"/>
    </sheetView>
  </sheetViews>
  <sheetFormatPr defaultColWidth="8.6640625" defaultRowHeight="13.2"/>
  <cols>
    <col min="1" max="2" width="2.44140625" style="2" customWidth="1"/>
    <col min="3" max="3" width="29.88671875" style="2" customWidth="1"/>
    <col min="4" max="4" width="34" style="2" customWidth="1"/>
    <col min="5" max="5" width="27.88671875" style="2" customWidth="1"/>
    <col min="6" max="6" width="30.88671875" style="2" customWidth="1"/>
    <col min="7" max="7" width="26.33203125" style="2" customWidth="1"/>
    <col min="8" max="8" width="31.33203125" style="2" customWidth="1"/>
    <col min="9" max="9" width="44.109375" style="2" bestFit="1" customWidth="1"/>
    <col min="10" max="10" width="57" style="2" customWidth="1"/>
    <col min="11" max="11" width="39.33203125" style="2" customWidth="1"/>
    <col min="12" max="12" width="17.33203125" style="2" customWidth="1"/>
    <col min="13" max="13" width="17.6640625" style="2" hidden="1" customWidth="1"/>
    <col min="14" max="14" width="36.6640625" style="2" customWidth="1"/>
    <col min="15" max="15" width="49.33203125" style="2" customWidth="1"/>
    <col min="16" max="16" width="37.44140625" style="2" bestFit="1" customWidth="1"/>
    <col min="17" max="17" width="9.44140625" style="2" hidden="1" customWidth="1"/>
    <col min="18" max="18" width="40.33203125" style="2" customWidth="1"/>
    <col min="19" max="19" width="32.44140625" style="2" bestFit="1" customWidth="1"/>
    <col min="20" max="20" width="32.44140625" style="2" customWidth="1"/>
    <col min="21" max="21" width="29" style="2" bestFit="1" customWidth="1"/>
    <col min="22" max="22" width="29" style="2" customWidth="1"/>
    <col min="23" max="23" width="13.44140625" style="2" customWidth="1"/>
    <col min="24" max="24" width="19.88671875" style="2" customWidth="1"/>
    <col min="25" max="25" width="25.44140625" style="2" customWidth="1"/>
    <col min="26" max="26" width="14.33203125" style="2" customWidth="1"/>
    <col min="27" max="27" width="13.44140625" style="2" customWidth="1"/>
    <col min="28" max="31" width="14.44140625" style="2" customWidth="1"/>
    <col min="32" max="32" width="16.6640625" style="2" bestFit="1" customWidth="1"/>
    <col min="33" max="33" width="18.33203125" style="2" customWidth="1"/>
    <col min="34" max="34" width="22.44140625" style="2" customWidth="1"/>
    <col min="35" max="16384" width="8.6640625" style="2"/>
  </cols>
  <sheetData>
    <row r="1" spans="3:41" s="1" customFormat="1" ht="61.2" thickBot="1">
      <c r="C1" s="310"/>
      <c r="D1" s="310"/>
      <c r="E1" s="310"/>
      <c r="F1" s="310"/>
      <c r="G1" s="310"/>
      <c r="H1" s="25"/>
      <c r="I1" s="25"/>
      <c r="J1" s="25"/>
      <c r="K1" s="25"/>
      <c r="L1" s="25"/>
      <c r="M1" s="25">
        <v>6</v>
      </c>
      <c r="N1" s="25"/>
      <c r="O1" s="25"/>
      <c r="P1" s="25"/>
      <c r="Q1" s="25"/>
      <c r="R1" s="25"/>
      <c r="S1" s="25"/>
      <c r="T1" s="25"/>
      <c r="U1" s="25"/>
      <c r="V1" s="25"/>
    </row>
    <row r="2" spans="3:41" ht="75.900000000000006" customHeight="1">
      <c r="C2" s="83" t="s">
        <v>123</v>
      </c>
      <c r="D2" s="84"/>
      <c r="E2" s="84"/>
      <c r="F2" s="84"/>
      <c r="G2" s="84"/>
      <c r="H2" s="84"/>
      <c r="I2" s="84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3:41" ht="12" customHeight="1">
      <c r="C3" s="87"/>
      <c r="D3" s="224"/>
      <c r="E3" s="224"/>
      <c r="F3" s="224"/>
      <c r="G3" s="224"/>
      <c r="H3" s="224"/>
      <c r="I3" s="224"/>
      <c r="J3" s="225"/>
      <c r="K3" s="225"/>
      <c r="L3" s="225"/>
      <c r="M3" s="225"/>
      <c r="N3" s="225"/>
      <c r="O3" s="225"/>
      <c r="P3" s="225"/>
      <c r="Q3" s="225"/>
      <c r="R3" s="225"/>
      <c r="S3" s="225"/>
      <c r="T3" s="225"/>
      <c r="U3" s="88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</row>
    <row r="4" spans="3:41" ht="6.75" customHeight="1" thickBot="1">
      <c r="C4" s="89"/>
      <c r="D4" s="90"/>
      <c r="E4" s="90"/>
      <c r="F4" s="90"/>
      <c r="G4" s="90"/>
      <c r="H4" s="90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2"/>
    </row>
    <row r="5" spans="3:41" ht="37.200000000000003" thickBot="1">
      <c r="C5" s="197" t="s">
        <v>124</v>
      </c>
      <c r="D5" s="198"/>
      <c r="E5" s="198"/>
      <c r="F5" s="198"/>
      <c r="G5" s="198"/>
      <c r="H5" s="198"/>
      <c r="I5" s="198"/>
      <c r="J5" s="198"/>
      <c r="K5" s="198"/>
      <c r="L5" s="199"/>
      <c r="M5" s="198"/>
      <c r="N5" s="198"/>
      <c r="O5" s="198"/>
      <c r="P5" s="199"/>
      <c r="Q5" s="198"/>
      <c r="R5" s="198"/>
      <c r="S5" s="199"/>
      <c r="T5" s="199"/>
      <c r="U5" s="200"/>
    </row>
    <row r="6" spans="3:41" s="37" customFormat="1" ht="51.6" customHeight="1">
      <c r="C6" s="218" t="s">
        <v>125</v>
      </c>
      <c r="D6" s="248" t="s">
        <v>1502</v>
      </c>
      <c r="F6" s="217" t="s">
        <v>126</v>
      </c>
      <c r="G6" s="249" t="s">
        <v>1503</v>
      </c>
      <c r="H6" s="96"/>
      <c r="I6" s="217" t="s">
        <v>127</v>
      </c>
      <c r="J6" s="324" t="s">
        <v>1472</v>
      </c>
      <c r="L6" s="94"/>
      <c r="M6" s="217"/>
      <c r="N6" s="217" t="s">
        <v>128</v>
      </c>
      <c r="O6" s="326" t="s">
        <v>1475</v>
      </c>
      <c r="P6" s="93"/>
      <c r="Q6" s="217"/>
      <c r="U6" s="95"/>
      <c r="V6" s="76"/>
    </row>
    <row r="7" spans="3:41" s="37" customFormat="1" ht="46.2" customHeight="1">
      <c r="C7" s="218" t="s">
        <v>129</v>
      </c>
      <c r="D7" s="215"/>
      <c r="F7" s="217" t="s">
        <v>130</v>
      </c>
      <c r="G7" s="249" t="s">
        <v>1467</v>
      </c>
      <c r="H7" s="96"/>
      <c r="I7" s="217" t="s">
        <v>131</v>
      </c>
      <c r="J7" s="325" t="s">
        <v>1504</v>
      </c>
      <c r="L7" s="96"/>
      <c r="M7" s="217"/>
      <c r="N7" s="217" t="s">
        <v>132</v>
      </c>
      <c r="O7" s="250" t="s">
        <v>1488</v>
      </c>
      <c r="P7" s="96"/>
      <c r="Q7" s="217"/>
      <c r="U7" s="97"/>
      <c r="V7" s="77"/>
    </row>
    <row r="8" spans="3:41" s="37" customFormat="1" ht="21">
      <c r="C8" s="219" t="s">
        <v>133</v>
      </c>
      <c r="D8" s="216" t="s">
        <v>1511</v>
      </c>
      <c r="F8" s="217" t="s">
        <v>134</v>
      </c>
      <c r="G8" s="249" t="s">
        <v>1468</v>
      </c>
      <c r="H8" s="96"/>
      <c r="I8" s="217" t="s">
        <v>135</v>
      </c>
      <c r="J8" s="250" t="s">
        <v>1473</v>
      </c>
      <c r="L8" s="220"/>
      <c r="M8" s="217"/>
      <c r="N8" s="226" t="s">
        <v>140</v>
      </c>
      <c r="O8" s="250" t="s">
        <v>1486</v>
      </c>
      <c r="P8" s="96"/>
      <c r="Q8" s="217"/>
      <c r="U8" s="98"/>
      <c r="V8" s="78"/>
    </row>
    <row r="9" spans="3:41" s="37" customFormat="1" ht="21">
      <c r="C9" s="219" t="s">
        <v>137</v>
      </c>
      <c r="D9" s="248" t="s">
        <v>1512</v>
      </c>
      <c r="F9" s="217" t="s">
        <v>138</v>
      </c>
      <c r="G9" s="249" t="s">
        <v>1469</v>
      </c>
      <c r="I9" s="217" t="s">
        <v>139</v>
      </c>
      <c r="J9" s="249" t="s">
        <v>1474</v>
      </c>
      <c r="L9" s="96"/>
      <c r="M9" s="96"/>
      <c r="P9" s="96"/>
      <c r="Q9" s="217"/>
      <c r="U9" s="99"/>
      <c r="V9" s="70"/>
    </row>
    <row r="10" spans="3:41" s="37" customFormat="1" ht="21">
      <c r="C10" s="219" t="s">
        <v>141</v>
      </c>
      <c r="D10" s="248" t="s">
        <v>1464</v>
      </c>
      <c r="F10" s="217" t="s">
        <v>136</v>
      </c>
      <c r="G10" s="249" t="s">
        <v>1487</v>
      </c>
      <c r="I10" s="217" t="s">
        <v>142</v>
      </c>
      <c r="J10" s="216" t="s">
        <v>1509</v>
      </c>
      <c r="L10" s="96"/>
      <c r="M10" s="96"/>
      <c r="P10" s="96"/>
      <c r="Q10" s="217"/>
      <c r="U10" s="99"/>
      <c r="V10" s="70"/>
    </row>
    <row r="11" spans="3:41" s="37" customFormat="1" ht="21">
      <c r="C11" s="219" t="s">
        <v>143</v>
      </c>
      <c r="D11" s="248" t="s">
        <v>1465</v>
      </c>
      <c r="F11" s="217" t="s">
        <v>1434</v>
      </c>
      <c r="G11" s="249" t="s">
        <v>1470</v>
      </c>
      <c r="H11" s="96"/>
      <c r="I11" s="217" t="s">
        <v>144</v>
      </c>
      <c r="J11" s="216"/>
      <c r="L11" s="96"/>
      <c r="M11" s="96"/>
      <c r="P11" s="96"/>
      <c r="Q11" s="217"/>
      <c r="U11" s="99"/>
      <c r="V11" s="70"/>
    </row>
    <row r="12" spans="3:41" s="37" customFormat="1" ht="39.75" customHeight="1">
      <c r="C12" s="219" t="s">
        <v>145</v>
      </c>
      <c r="D12" s="248" t="s">
        <v>1466</v>
      </c>
      <c r="F12" s="217" t="s">
        <v>1433</v>
      </c>
      <c r="G12" s="249" t="s">
        <v>1471</v>
      </c>
      <c r="H12" s="96"/>
      <c r="I12" s="96"/>
      <c r="J12" s="221"/>
      <c r="K12" s="222"/>
      <c r="L12" s="96"/>
      <c r="M12" s="96"/>
      <c r="P12" s="96"/>
      <c r="Q12" s="96"/>
      <c r="R12" s="96"/>
      <c r="S12" s="223"/>
      <c r="T12" s="223"/>
      <c r="U12" s="100"/>
      <c r="V12" s="70"/>
    </row>
    <row r="13" spans="3:41" s="37" customFormat="1" ht="21.6" thickBot="1">
      <c r="C13" s="101"/>
      <c r="D13" s="102"/>
      <c r="E13" s="103"/>
      <c r="F13" s="196"/>
      <c r="G13" s="196"/>
      <c r="H13" s="104"/>
      <c r="I13" s="104"/>
      <c r="J13" s="105"/>
      <c r="K13" s="104"/>
      <c r="L13" s="104"/>
      <c r="M13" s="104"/>
      <c r="N13" s="104"/>
      <c r="O13" s="104"/>
      <c r="P13" s="104"/>
      <c r="Q13" s="104"/>
      <c r="R13" s="104"/>
      <c r="S13" s="105"/>
      <c r="T13" s="105"/>
      <c r="U13" s="106"/>
      <c r="V13" s="70"/>
    </row>
    <row r="14" spans="3:41" ht="24" thickBot="1">
      <c r="C14" s="107"/>
      <c r="D14" s="107"/>
      <c r="E14" s="108"/>
      <c r="F14" s="109"/>
      <c r="G14" s="110"/>
      <c r="H14" s="111"/>
      <c r="I14" s="112"/>
      <c r="J14" s="113"/>
      <c r="K14" s="114"/>
      <c r="L14" s="114"/>
      <c r="M14" s="114"/>
      <c r="N14" s="114"/>
      <c r="O14" s="114"/>
      <c r="P14" s="115"/>
      <c r="Q14" s="115"/>
      <c r="R14" s="115"/>
      <c r="S14" s="115"/>
      <c r="T14" s="115"/>
      <c r="U14" s="115"/>
      <c r="V14" s="63"/>
    </row>
    <row r="15" spans="3:41" ht="37.200000000000003" thickBot="1">
      <c r="C15" s="193" t="s">
        <v>146</v>
      </c>
      <c r="D15" s="194"/>
      <c r="E15" s="194"/>
      <c r="F15" s="194"/>
      <c r="G15" s="194"/>
      <c r="H15" s="194"/>
      <c r="I15" s="194"/>
      <c r="J15" s="194"/>
      <c r="K15" s="194"/>
      <c r="L15" s="194"/>
      <c r="M15" s="194"/>
      <c r="N15" s="194"/>
      <c r="O15" s="194"/>
      <c r="P15" s="194"/>
      <c r="Q15" s="194"/>
      <c r="R15" s="194"/>
      <c r="S15" s="194"/>
      <c r="T15" s="194"/>
      <c r="U15" s="195"/>
      <c r="V15" s="68"/>
    </row>
    <row r="16" spans="3:41" ht="31.2">
      <c r="C16" s="116"/>
      <c r="D16" s="117"/>
      <c r="E16" s="117"/>
      <c r="F16" s="117"/>
      <c r="G16" s="117"/>
      <c r="H16" s="117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88"/>
      <c r="V16" s="63"/>
    </row>
    <row r="17" spans="3:24" s="29" customFormat="1" ht="26.4" thickBot="1">
      <c r="C17" s="118"/>
      <c r="D17" s="348" t="s">
        <v>147</v>
      </c>
      <c r="E17" s="348"/>
      <c r="F17" s="119"/>
      <c r="G17" s="348" t="s">
        <v>148</v>
      </c>
      <c r="H17" s="348"/>
      <c r="I17" s="119"/>
      <c r="J17" s="119"/>
      <c r="K17" s="348" t="s">
        <v>149</v>
      </c>
      <c r="L17" s="348"/>
      <c r="M17" s="348"/>
      <c r="N17" s="348"/>
      <c r="O17" s="348"/>
      <c r="P17" s="348"/>
      <c r="Q17" s="348"/>
      <c r="R17" s="348"/>
      <c r="S17" s="119"/>
      <c r="T17" s="119"/>
      <c r="U17" s="120"/>
      <c r="V17" s="79"/>
      <c r="W17" s="31"/>
      <c r="X17" s="31"/>
    </row>
    <row r="18" spans="3:24" s="4" customFormat="1" ht="18.600000000000001" thickBot="1">
      <c r="C18" s="121"/>
      <c r="D18" s="115"/>
      <c r="E18" s="115"/>
      <c r="F18" s="122"/>
      <c r="G18" s="122"/>
      <c r="H18" s="122"/>
      <c r="I18" s="122"/>
      <c r="J18" s="123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4"/>
      <c r="V18" s="80"/>
    </row>
    <row r="19" spans="3:24" ht="40.5" customHeight="1" thickBot="1">
      <c r="C19" s="125"/>
      <c r="D19" s="227" t="s">
        <v>0</v>
      </c>
      <c r="E19" s="240"/>
      <c r="F19" s="127"/>
      <c r="G19" s="128" t="s">
        <v>150</v>
      </c>
      <c r="H19" s="251">
        <f ca="1">IF(H26&gt;0,H26,(SUM(H20:H25)))</f>
        <v>0</v>
      </c>
      <c r="I19" s="129"/>
      <c r="J19" s="115"/>
      <c r="K19" s="191" t="s">
        <v>151</v>
      </c>
      <c r="L19" s="192"/>
      <c r="M19" s="201" t="s">
        <v>152</v>
      </c>
      <c r="N19" s="130" t="s">
        <v>153</v>
      </c>
      <c r="O19" s="346" t="s">
        <v>154</v>
      </c>
      <c r="P19" s="347"/>
      <c r="Q19" s="201" t="s">
        <v>152</v>
      </c>
      <c r="R19" s="130" t="s">
        <v>153</v>
      </c>
      <c r="S19" s="129"/>
      <c r="T19" s="129"/>
      <c r="U19" s="88"/>
      <c r="V19" s="130" t="s">
        <v>1510</v>
      </c>
    </row>
    <row r="20" spans="3:24" s="4" customFormat="1" ht="45.9" customHeight="1">
      <c r="C20" s="121"/>
      <c r="D20" s="228" t="s">
        <v>113</v>
      </c>
      <c r="E20" s="241"/>
      <c r="F20" s="133"/>
      <c r="G20" s="134" t="s">
        <v>54</v>
      </c>
      <c r="H20" s="265">
        <f ca="1">SUMIF(C51:C201,'Data Validation'!A2,S51:S201)+SUMIF(C206:C220,'Data Validation'!A2,S206:S211)</f>
        <v>0</v>
      </c>
      <c r="I20" s="135" t="s">
        <v>155</v>
      </c>
      <c r="J20" s="122"/>
      <c r="K20" s="136" t="s">
        <v>64</v>
      </c>
      <c r="L20" s="256">
        <f>W49</f>
        <v>0</v>
      </c>
      <c r="M20" s="190" t="s">
        <v>65</v>
      </c>
      <c r="N20" s="258">
        <f>VLOOKUP(CONCATENATE("# Cut &amp; Prep NON-LEATHER",L20),'TCT Lookup'!A:E,5,FALSE)</f>
        <v>0</v>
      </c>
      <c r="O20" s="136" t="s">
        <v>99</v>
      </c>
      <c r="P20" s="256">
        <f>AF49</f>
        <v>0</v>
      </c>
      <c r="Q20" s="137" t="s">
        <v>100</v>
      </c>
      <c r="R20" s="262">
        <f>IFERROR(VLOOKUP(CONCATENATE("# Bottom pieces",P20),'TCT Lookup'!A:E,5,FALSE),0)</f>
        <v>0</v>
      </c>
      <c r="S20" s="138"/>
      <c r="T20" s="138"/>
      <c r="U20" s="124"/>
      <c r="V20" s="262">
        <f ca="1">SUMIF(C206:C220,'Data Validation'!A2,S206:S211)</f>
        <v>0</v>
      </c>
    </row>
    <row r="21" spans="3:24" s="4" customFormat="1" ht="45.9" customHeight="1" thickBot="1">
      <c r="C21" s="121"/>
      <c r="D21" s="230" t="s">
        <v>114</v>
      </c>
      <c r="E21" s="323"/>
      <c r="F21" s="96"/>
      <c r="G21" s="141" t="s">
        <v>55</v>
      </c>
      <c r="H21" s="265">
        <f ca="1">SUMIF(C51:C201,'Data Validation'!A3,S51:S201)+SUMIF(C206:C220,'Data Validation'!A3,S206:S211)</f>
        <v>0</v>
      </c>
      <c r="I21" s="135" t="s">
        <v>155</v>
      </c>
      <c r="J21" s="142"/>
      <c r="K21" s="143" t="s">
        <v>66</v>
      </c>
      <c r="L21" s="257">
        <f>X49</f>
        <v>0</v>
      </c>
      <c r="M21" s="190" t="s">
        <v>67</v>
      </c>
      <c r="N21" s="259">
        <f>VLOOKUP(CONCATENATE("# Cut &amp; Prep Non-leather pieces for single layer cutting",L21),'TCT Lookup'!A:E,5,FALSE)</f>
        <v>0</v>
      </c>
      <c r="O21" s="144" t="s">
        <v>101</v>
      </c>
      <c r="P21" s="145">
        <v>1</v>
      </c>
      <c r="Q21" s="202" t="s">
        <v>102</v>
      </c>
      <c r="R21" s="259">
        <f>IFERROR(VLOOKUP(CONCATENATE("# Recess points and # Emboss/deboss windows",P21),'TCT Lookup'!A:E,5,FALSE),0)</f>
        <v>0.21419140343483287</v>
      </c>
      <c r="S21" s="122"/>
      <c r="T21" s="122"/>
      <c r="U21" s="124"/>
      <c r="V21" s="263">
        <f ca="1">SUMIF(C206:C220,'Data Validation'!A3,S206:S211)</f>
        <v>0</v>
      </c>
    </row>
    <row r="22" spans="3:24" s="4" customFormat="1" ht="21.6" thickBot="1">
      <c r="C22" s="121"/>
      <c r="D22" s="229" t="s">
        <v>116</v>
      </c>
      <c r="E22" s="242" t="s">
        <v>1507</v>
      </c>
      <c r="F22" s="133"/>
      <c r="G22" s="141" t="s">
        <v>56</v>
      </c>
      <c r="H22" s="265">
        <f ca="1">SUMIF(C51:C201,'Data Validation'!A4,S51:S201)+SUMIF(C206:C220,'Data Validation'!A4,S206:S211)</f>
        <v>0</v>
      </c>
      <c r="I22" s="135" t="s">
        <v>155</v>
      </c>
      <c r="J22" s="122"/>
      <c r="K22" s="149" t="s">
        <v>68</v>
      </c>
      <c r="L22" s="257">
        <f>Y49</f>
        <v>0</v>
      </c>
      <c r="M22" s="190" t="s">
        <v>69</v>
      </c>
      <c r="N22" s="259">
        <f>VLOOKUP(CONCATENATE("# Cut &amp; Prep LEATHER",L22),'TCT Lookup'!A:E,5,FALSE)</f>
        <v>0</v>
      </c>
      <c r="O22" s="346" t="s">
        <v>156</v>
      </c>
      <c r="P22" s="347"/>
      <c r="Q22" s="203"/>
      <c r="R22" s="148" t="s">
        <v>153</v>
      </c>
      <c r="S22" s="138"/>
      <c r="T22" s="138"/>
      <c r="U22" s="124"/>
      <c r="V22" s="263">
        <f ca="1">SUMIF(C206:C220,'Data Validation'!A4,S206:S211)</f>
        <v>0</v>
      </c>
    </row>
    <row r="23" spans="3:24" s="4" customFormat="1" ht="21">
      <c r="C23" s="121"/>
      <c r="D23" s="229" t="s">
        <v>118</v>
      </c>
      <c r="E23" s="242" t="s">
        <v>1508</v>
      </c>
      <c r="F23" s="133"/>
      <c r="G23" s="149" t="s">
        <v>57</v>
      </c>
      <c r="H23" s="265">
        <f ca="1">SUMIF(C51:C201,'Data Validation'!A5,S51:S201)+SUMIF(C206:C220,'Data Validation'!A5,S206:S211)</f>
        <v>0</v>
      </c>
      <c r="I23" s="135" t="s">
        <v>155</v>
      </c>
      <c r="J23" s="122"/>
      <c r="K23" s="141" t="s">
        <v>157</v>
      </c>
      <c r="L23" s="257">
        <f>Z49</f>
        <v>0</v>
      </c>
      <c r="M23" s="190" t="s">
        <v>70</v>
      </c>
      <c r="N23" s="259">
        <f>IFERROR(VLOOKUP(CONCATENATE("# Cut &amp; Prep LEATHER PAIR MATCHING",L23),'TCT Lookup'!A:E,5,FALSE),0)</f>
        <v>0</v>
      </c>
      <c r="O23" s="150" t="s">
        <v>1447</v>
      </c>
      <c r="P23" s="245"/>
      <c r="Q23" s="204" t="s">
        <v>103</v>
      </c>
      <c r="R23" s="262">
        <f>IFERROR(VLOOKUP(CONCATENATE("Heel counter",P23),'TCT Lookup'!A:E,5,FALSE),0)</f>
        <v>0</v>
      </c>
      <c r="S23" s="138"/>
      <c r="T23" s="138"/>
      <c r="U23" s="124"/>
      <c r="V23" s="263">
        <f ca="1">SUMIF(C206:C220,'Data Validation'!A5,S206:S211)</f>
        <v>0</v>
      </c>
    </row>
    <row r="24" spans="3:24" s="16" customFormat="1" ht="21">
      <c r="C24" s="151"/>
      <c r="D24" s="229" t="s">
        <v>117</v>
      </c>
      <c r="E24" s="243" t="s">
        <v>1476</v>
      </c>
      <c r="F24" s="96"/>
      <c r="G24" s="141" t="s">
        <v>58</v>
      </c>
      <c r="H24" s="265">
        <f ca="1">SUMIF(C51:C201,'Data Validation'!A6,S51:S201)+SUMIF(C206:C220,'Data Validation'!A6,S206:S211)</f>
        <v>0</v>
      </c>
      <c r="I24" s="135" t="s">
        <v>155</v>
      </c>
      <c r="J24" s="142"/>
      <c r="K24" s="141" t="s">
        <v>1446</v>
      </c>
      <c r="L24" s="319"/>
      <c r="M24" s="320" t="s">
        <v>70</v>
      </c>
      <c r="N24" s="259">
        <f>IFERROR(VLOOKUP(CONCATENATE("Shoes Height",L24),'TCT Lookup'!A:E,5,FALSE),0)</f>
        <v>0</v>
      </c>
      <c r="O24" s="321" t="s">
        <v>1448</v>
      </c>
      <c r="P24" s="246"/>
      <c r="Q24" s="205" t="s">
        <v>103</v>
      </c>
      <c r="R24" s="263">
        <f>IFERROR(VLOOKUP(CONCATENATE("Heel counter",P24),'TCT Lookup'!A:E,5,FALSE),0)</f>
        <v>0</v>
      </c>
      <c r="S24" s="142"/>
      <c r="T24" s="142"/>
      <c r="U24" s="153"/>
      <c r="V24" s="263">
        <f ca="1">SUMIF(C206:C220,'Data Validation'!A6,S206:S211)</f>
        <v>0</v>
      </c>
    </row>
    <row r="25" spans="3:24" s="4" customFormat="1" ht="21">
      <c r="C25" s="121"/>
      <c r="D25" s="228" t="s">
        <v>121</v>
      </c>
      <c r="E25" s="342" t="s">
        <v>1477</v>
      </c>
      <c r="F25" s="133"/>
      <c r="G25" s="141" t="s">
        <v>59</v>
      </c>
      <c r="H25" s="265">
        <f ca="1">SUMIF(C51:C201,'Data Validation'!A7,S51:S201)+SUMIF(C206:C220,'Data Validation'!A7,S206:S211)</f>
        <v>0</v>
      </c>
      <c r="I25" s="135" t="s">
        <v>155</v>
      </c>
      <c r="J25" s="122"/>
      <c r="K25" s="143" t="s">
        <v>71</v>
      </c>
      <c r="L25" s="257">
        <f>AA49</f>
        <v>0</v>
      </c>
      <c r="M25" s="190" t="s">
        <v>72</v>
      </c>
      <c r="N25" s="259">
        <f>VLOOKUP(CONCATENATE("# Stitched upper pieces",L25),'TCT Lookup'!A:E,5,FALSE)</f>
        <v>0</v>
      </c>
      <c r="O25" s="152" t="s">
        <v>4</v>
      </c>
      <c r="P25" s="246"/>
      <c r="Q25" s="205" t="s">
        <v>104</v>
      </c>
      <c r="R25" s="263">
        <f>IFERROR(VLOOKUP(CONCATENATE(O25,P25),'TCT Lookup'!A:E,5,FALSE),0)</f>
        <v>0</v>
      </c>
      <c r="S25" s="138"/>
      <c r="T25" s="138"/>
      <c r="U25" s="124"/>
      <c r="V25" s="263">
        <f ca="1">SUMIF(C206:C220,'Data Validation'!A7,S206:S211)</f>
        <v>0</v>
      </c>
    </row>
    <row r="26" spans="3:24" ht="21.6" thickBot="1">
      <c r="C26" s="121"/>
      <c r="D26" s="233" t="s">
        <v>122</v>
      </c>
      <c r="E26" s="244" t="s">
        <v>1478</v>
      </c>
      <c r="F26" s="127"/>
      <c r="G26" s="144" t="s">
        <v>60</v>
      </c>
      <c r="H26" s="140">
        <v>0</v>
      </c>
      <c r="I26" s="154"/>
      <c r="J26" s="115"/>
      <c r="K26" s="143" t="s">
        <v>73</v>
      </c>
      <c r="L26" s="257">
        <f>AB49</f>
        <v>0</v>
      </c>
      <c r="M26" s="190" t="s">
        <v>74</v>
      </c>
      <c r="N26" s="259">
        <f>VLOOKUP(CONCATENATE("# Stitch &amp; turns",L26),'TCT Lookup'!A:E,5,FALSE)</f>
        <v>0</v>
      </c>
      <c r="O26" s="152" t="s">
        <v>5</v>
      </c>
      <c r="P26" s="246"/>
      <c r="Q26" s="205" t="s">
        <v>105</v>
      </c>
      <c r="R26" s="263">
        <f>IFERROR(VLOOKUP(CONCATENATE(O26,P26),'TCT Lookup'!A:E,5,FALSE),0)</f>
        <v>0</v>
      </c>
      <c r="S26" s="155"/>
      <c r="T26" s="155"/>
      <c r="U26" s="88"/>
      <c r="V26" s="261"/>
    </row>
    <row r="27" spans="3:24" s="4" customFormat="1" ht="56.25" customHeight="1" thickBot="1">
      <c r="C27" s="121"/>
      <c r="F27" s="133"/>
      <c r="G27" s="128" t="s">
        <v>119</v>
      </c>
      <c r="H27" s="252">
        <f>SUM(H28:H31)</f>
        <v>43.945290884131019</v>
      </c>
      <c r="I27" s="156"/>
      <c r="J27" s="122"/>
      <c r="K27" s="143" t="s">
        <v>75</v>
      </c>
      <c r="L27" s="257">
        <f>AC49</f>
        <v>0</v>
      </c>
      <c r="M27" s="190" t="s">
        <v>76</v>
      </c>
      <c r="N27" s="259">
        <f>IFERROR(VLOOKUP(CONCATENATE("# Folded edges",L27),'TCT Lookup'!A:E,5,FALSE),0)</f>
        <v>0</v>
      </c>
      <c r="O27" s="321" t="s">
        <v>1450</v>
      </c>
      <c r="P27" s="246"/>
      <c r="R27" s="263">
        <f>IFERROR(VLOOKUP(CONCATENATE(O27,P27),'TCT Lookup'!A:E,5,FALSE),0)</f>
        <v>0</v>
      </c>
      <c r="S27" s="138"/>
      <c r="T27" s="138"/>
      <c r="U27" s="124"/>
    </row>
    <row r="28" spans="3:24" s="16" customFormat="1" ht="45" customHeight="1" thickBot="1">
      <c r="C28" s="125"/>
      <c r="D28" s="126" t="s">
        <v>63</v>
      </c>
      <c r="E28" s="254">
        <f>SUM(E29:E30)</f>
        <v>8</v>
      </c>
      <c r="F28" s="96"/>
      <c r="G28" s="141" t="s">
        <v>159</v>
      </c>
      <c r="H28" s="253">
        <f>SUM((N20:N27),(N30:N34),(N36:N38),(N40:N43))*E28</f>
        <v>42.231759656652358</v>
      </c>
      <c r="I28" s="156" t="s">
        <v>160</v>
      </c>
      <c r="J28" s="142"/>
      <c r="K28" s="157" t="s">
        <v>1</v>
      </c>
      <c r="L28" s="247"/>
      <c r="M28" s="190" t="s">
        <v>77</v>
      </c>
      <c r="N28" s="259">
        <f>IFERROR(VLOOKUP(CONCATENATE("Special upper construction",L28),'TCT Lookup'!A:E,5,FALSE),0)</f>
        <v>0</v>
      </c>
      <c r="O28" s="152" t="s">
        <v>6</v>
      </c>
      <c r="P28" s="246"/>
      <c r="Q28" s="205" t="s">
        <v>106</v>
      </c>
      <c r="R28" s="263">
        <f>IFERROR(VLOOKUP(CONCATENATE(O28,P28),'TCT Lookup'!A:E,5,FALSE),0)</f>
        <v>0</v>
      </c>
      <c r="S28" s="142"/>
      <c r="T28" s="142"/>
      <c r="U28" s="153"/>
    </row>
    <row r="29" spans="3:24" s="16" customFormat="1" ht="23.1" customHeight="1" thickBot="1">
      <c r="C29" s="121"/>
      <c r="D29" s="131" t="s">
        <v>61</v>
      </c>
      <c r="E29" s="132">
        <v>5</v>
      </c>
      <c r="F29" s="96"/>
      <c r="G29" s="141" t="s">
        <v>162</v>
      </c>
      <c r="H29" s="253">
        <f>SUM(R20:R21)*E28</f>
        <v>1.7135312274786629</v>
      </c>
      <c r="I29" s="158" t="s">
        <v>163</v>
      </c>
      <c r="J29" s="142"/>
      <c r="K29" s="349" t="s">
        <v>161</v>
      </c>
      <c r="L29" s="350"/>
      <c r="M29" s="350"/>
      <c r="N29" s="351"/>
      <c r="O29" s="152" t="s">
        <v>158</v>
      </c>
      <c r="P29" s="318">
        <f>AG49</f>
        <v>0</v>
      </c>
      <c r="Q29" s="159" t="s">
        <v>108</v>
      </c>
      <c r="R29" s="263">
        <f>IFERROR(VLOOKUP(CONCATENATE(O29,P29),'TCT Lookup'!A:E,5,FALSE),0)</f>
        <v>0</v>
      </c>
      <c r="S29" s="142"/>
      <c r="T29" s="142"/>
      <c r="U29" s="153"/>
    </row>
    <row r="30" spans="3:24" s="16" customFormat="1" ht="21.6" thickBot="1">
      <c r="C30" s="151"/>
      <c r="D30" s="139" t="s">
        <v>62</v>
      </c>
      <c r="E30" s="140">
        <v>3</v>
      </c>
      <c r="F30" s="96"/>
      <c r="G30" s="141" t="s">
        <v>112</v>
      </c>
      <c r="H30" s="253">
        <f>IFERROR(SUM(R23:R31)*E28,0)</f>
        <v>0</v>
      </c>
      <c r="I30" s="158" t="s">
        <v>164</v>
      </c>
      <c r="J30" s="142"/>
      <c r="K30" s="136" t="s">
        <v>78</v>
      </c>
      <c r="L30" s="137">
        <v>1</v>
      </c>
      <c r="M30" s="159" t="s">
        <v>79</v>
      </c>
      <c r="N30" s="259">
        <f>IFERROR(VLOOKUP(CONCATENATE("# Punch holes",L30),'TCT Lookup'!A:E,5,FALSE),0)</f>
        <v>5.1502145922746781E-2</v>
      </c>
      <c r="O30" s="152" t="s">
        <v>7</v>
      </c>
      <c r="P30" s="246"/>
      <c r="Q30" s="205" t="s">
        <v>109</v>
      </c>
      <c r="R30" s="263">
        <f>IFERROR(VLOOKUP(CONCATENATE(O30,P30),'TCT Lookup'!A:E,5,FALSE),0)</f>
        <v>0</v>
      </c>
      <c r="S30" s="142"/>
      <c r="T30" s="142"/>
      <c r="U30" s="153"/>
    </row>
    <row r="31" spans="3:24" s="4" customFormat="1" ht="23.1" customHeight="1" thickBot="1">
      <c r="C31" s="151"/>
      <c r="D31" s="146"/>
      <c r="E31" s="147"/>
      <c r="F31" s="133"/>
      <c r="G31" s="141" t="s">
        <v>166</v>
      </c>
      <c r="H31" s="253">
        <f>SUM(R33:R39)*E28</f>
        <v>0</v>
      </c>
      <c r="I31" s="158" t="s">
        <v>167</v>
      </c>
      <c r="J31" s="122"/>
      <c r="K31" s="143" t="s">
        <v>80</v>
      </c>
      <c r="L31" s="159">
        <v>4</v>
      </c>
      <c r="M31" s="159" t="s">
        <v>81</v>
      </c>
      <c r="N31" s="259">
        <f>IFERROR(VLOOKUP(CONCATENATE("# Metal eyelets",L31),'TCT Lookup'!A:E,5,FALSE),0)</f>
        <v>0.41201716738197425</v>
      </c>
      <c r="O31" s="160" t="s">
        <v>8</v>
      </c>
      <c r="P31" s="247"/>
      <c r="Q31" s="206" t="s">
        <v>110</v>
      </c>
      <c r="R31" s="264">
        <f>IFERROR(VLOOKUP(CONCATENATE(O31,P31),'TCT Lookup'!A:E,5,FALSE),0)</f>
        <v>0</v>
      </c>
      <c r="S31" s="122"/>
      <c r="T31" s="122"/>
      <c r="U31" s="124"/>
    </row>
    <row r="32" spans="3:24" s="16" customFormat="1" ht="21.6" thickBot="1">
      <c r="C32" s="151"/>
      <c r="D32" s="126" t="s">
        <v>120</v>
      </c>
      <c r="E32" s="336">
        <v>5</v>
      </c>
      <c r="F32" s="96"/>
      <c r="G32" s="128" t="s">
        <v>168</v>
      </c>
      <c r="H32" s="252">
        <f ca="1">(H19+H27)*(E32/100)</f>
        <v>2.197264544206551</v>
      </c>
      <c r="I32" s="158" t="s">
        <v>169</v>
      </c>
      <c r="J32" s="142"/>
      <c r="K32" s="143" t="s">
        <v>82</v>
      </c>
      <c r="L32" s="159">
        <v>1</v>
      </c>
      <c r="M32" s="159" t="s">
        <v>83</v>
      </c>
      <c r="N32" s="259">
        <f>IFERROR(VLOOKUP(CONCATENATE("# Lace loops (inserted)",L32),'TCT Lookup'!A:E,5,FALSE),0)</f>
        <v>0.90128755364806856</v>
      </c>
      <c r="O32" s="346" t="s">
        <v>165</v>
      </c>
      <c r="P32" s="347"/>
      <c r="Q32" s="207"/>
      <c r="R32" s="130" t="s">
        <v>153</v>
      </c>
      <c r="S32" s="142"/>
      <c r="T32" s="142"/>
      <c r="U32" s="153"/>
    </row>
    <row r="33" spans="3:33" s="4" customFormat="1" ht="21.6" thickBot="1">
      <c r="C33" s="121"/>
      <c r="D33" s="126" t="s">
        <v>1437</v>
      </c>
      <c r="E33" s="336">
        <v>5</v>
      </c>
      <c r="F33" s="133"/>
      <c r="G33" s="128" t="s">
        <v>170</v>
      </c>
      <c r="H33" s="166">
        <v>0</v>
      </c>
      <c r="I33" s="167"/>
      <c r="J33" s="122"/>
      <c r="K33" s="143" t="s">
        <v>84</v>
      </c>
      <c r="L33" s="159">
        <v>1</v>
      </c>
      <c r="M33" s="159" t="s">
        <v>85</v>
      </c>
      <c r="N33" s="259">
        <f>IFERROR(VLOOKUP(CONCATENATE("# Lace loops (stitched on)",L33),'TCT Lookup'!A:E,5,FALSE),0)</f>
        <v>0.33476394849785407</v>
      </c>
      <c r="O33" s="214"/>
      <c r="P33" s="341" t="str">
        <f>IF(COUNTA(P34,P35,P36,P37,P38,P39)=0, "", IF(COUNTA(P34,P35,P36,P37,P38,P39)=1, IF(P34&lt;&gt;"", P34, IF(P35&lt;&gt;"", P35, IF(P36&lt;&gt;"", P36, IF(P37&lt;&gt;"", P37, IF(P38&lt;&gt;"", P38, P39))))), P34&amp;IF(P35&lt;&gt;"", "; "&amp;P35, "")&amp;IF(P36&lt;&gt;"", "; "&amp;P36, "")&amp;IF(P37&lt;&gt;"", "; "&amp;P37, "")&amp;IF(P38&lt;&gt;"", "; "&amp;P38, "")&amp;IF(P39&lt;&gt;"", "; "&amp;P39, "")))</f>
        <v/>
      </c>
      <c r="Q33" s="208" t="s">
        <v>111</v>
      </c>
      <c r="R33" s="341">
        <f>SUM(R34:R39)</f>
        <v>0</v>
      </c>
      <c r="S33" s="122"/>
      <c r="T33" s="122"/>
      <c r="U33" s="124"/>
    </row>
    <row r="34" spans="3:33" s="4" customFormat="1" ht="42.6" thickBot="1">
      <c r="C34" s="151"/>
      <c r="D34" s="164"/>
      <c r="E34" s="165"/>
      <c r="F34" s="122"/>
      <c r="G34" s="128" t="s">
        <v>1438</v>
      </c>
      <c r="H34" s="252">
        <f ca="1">IF(ISERROR((H19+H27+H32+H33)/(1/(E33/100)-1)),0,(H19+H27+H32+H33)/(1/(E33/100)-1))</f>
        <v>2.4285555488598725</v>
      </c>
      <c r="I34" s="167"/>
      <c r="J34" s="122"/>
      <c r="K34" s="157" t="s">
        <v>86</v>
      </c>
      <c r="L34" s="145">
        <v>1</v>
      </c>
      <c r="M34" s="159" t="s">
        <v>87</v>
      </c>
      <c r="N34" s="260">
        <f>IFERROR(VLOOKUP(CONCATENATE("# Ghillies",L34),'TCT Lookup'!A:E,5,FALSE),0)</f>
        <v>0.36051502145922748</v>
      </c>
      <c r="O34" s="162"/>
      <c r="P34" s="341"/>
      <c r="Q34" s="163"/>
      <c r="R34" s="341">
        <v>0</v>
      </c>
      <c r="S34" s="122"/>
      <c r="T34" s="122"/>
      <c r="U34" s="124"/>
    </row>
    <row r="35" spans="3:33" s="16" customFormat="1" ht="21.6" thickBot="1">
      <c r="C35" s="121"/>
      <c r="D35" s="164"/>
      <c r="E35" s="165"/>
      <c r="F35" s="142"/>
      <c r="G35" s="169" t="s">
        <v>1445</v>
      </c>
      <c r="H35" s="252">
        <f ca="1">H19+H27+H32+H33+H34</f>
        <v>48.571110977197449</v>
      </c>
      <c r="I35" s="142"/>
      <c r="J35" s="142"/>
      <c r="K35" s="343" t="s">
        <v>171</v>
      </c>
      <c r="L35" s="344"/>
      <c r="M35" s="344"/>
      <c r="N35" s="345"/>
      <c r="O35" s="162"/>
      <c r="P35" s="161"/>
      <c r="Q35" s="161"/>
      <c r="R35" s="161"/>
      <c r="S35" s="142"/>
      <c r="T35" s="142"/>
      <c r="U35" s="153"/>
    </row>
    <row r="36" spans="3:33" s="4" customFormat="1" ht="42">
      <c r="C36" s="121"/>
      <c r="D36" s="168"/>
      <c r="E36" s="168"/>
      <c r="F36" s="122"/>
      <c r="I36" s="122"/>
      <c r="J36" s="122"/>
      <c r="K36" s="136" t="s">
        <v>88</v>
      </c>
      <c r="L36" s="137">
        <v>1</v>
      </c>
      <c r="M36" s="159" t="s">
        <v>172</v>
      </c>
      <c r="N36" s="259">
        <f>IFERROR(VLOOKUP(CONCATENATE("# Lock stitch/overlock stitch/Flat stitch",L36),'TCT Lookup'!A:E,5,FALSE),0)</f>
        <v>0.38626609442060089</v>
      </c>
      <c r="O36" s="162"/>
      <c r="P36" s="161"/>
      <c r="Q36" s="161"/>
      <c r="R36" s="161"/>
      <c r="S36" s="122"/>
      <c r="T36" s="122"/>
      <c r="U36" s="124"/>
    </row>
    <row r="37" spans="3:33" s="4" customFormat="1" ht="21">
      <c r="C37" s="151"/>
      <c r="D37" s="170"/>
      <c r="E37" s="165"/>
      <c r="F37" s="122"/>
      <c r="G37" s="122"/>
      <c r="H37" s="122"/>
      <c r="I37" s="122"/>
      <c r="J37" s="122"/>
      <c r="K37" s="143" t="s">
        <v>89</v>
      </c>
      <c r="L37" s="159">
        <v>1</v>
      </c>
      <c r="M37" s="159" t="s">
        <v>173</v>
      </c>
      <c r="N37" s="259">
        <f>IFERROR(VLOOKUP(CONCATENATE("# Box stitch",L37),'TCT Lookup'!A:E,5,FALSE),0)</f>
        <v>0.36051502145922748</v>
      </c>
      <c r="O37" s="162"/>
      <c r="P37" s="163"/>
      <c r="Q37" s="163"/>
      <c r="R37" s="163">
        <v>0</v>
      </c>
      <c r="S37" s="122"/>
      <c r="T37" s="122"/>
      <c r="U37" s="124"/>
    </row>
    <row r="38" spans="3:33" s="16" customFormat="1" ht="21" customHeight="1" thickBot="1">
      <c r="C38" s="121"/>
      <c r="D38" s="171"/>
      <c r="E38" s="172"/>
      <c r="F38" s="142"/>
      <c r="G38" s="164"/>
      <c r="H38" s="177"/>
      <c r="I38" s="129"/>
      <c r="J38" s="142"/>
      <c r="K38" s="143" t="s">
        <v>90</v>
      </c>
      <c r="L38" s="159">
        <v>1</v>
      </c>
      <c r="M38" s="159" t="s">
        <v>91</v>
      </c>
      <c r="N38" s="260">
        <f>IFERROR(VLOOKUP(CONCATENATE("# Triple stitch",L38),'TCT Lookup'!A:E,5,FALSE),0)</f>
        <v>0.54077253218884114</v>
      </c>
      <c r="O38" s="162"/>
      <c r="P38" s="161"/>
      <c r="Q38" s="161"/>
      <c r="R38" s="161">
        <v>0</v>
      </c>
      <c r="S38" s="172"/>
      <c r="T38" s="172"/>
      <c r="U38" s="153"/>
    </row>
    <row r="39" spans="3:33" s="16" customFormat="1" ht="21.6" thickBot="1">
      <c r="C39" s="173"/>
      <c r="D39" s="142"/>
      <c r="E39" s="174"/>
      <c r="F39" s="142"/>
      <c r="G39" s="164"/>
      <c r="H39" s="177"/>
      <c r="I39" s="142"/>
      <c r="J39" s="142"/>
      <c r="K39" s="343" t="s">
        <v>174</v>
      </c>
      <c r="L39" s="344"/>
      <c r="M39" s="344"/>
      <c r="N39" s="345"/>
      <c r="O39" s="175"/>
      <c r="P39" s="176"/>
      <c r="Q39" s="176"/>
      <c r="R39" s="176">
        <v>0</v>
      </c>
      <c r="S39" s="142"/>
      <c r="T39" s="142"/>
      <c r="U39" s="153"/>
    </row>
    <row r="40" spans="3:33" s="38" customFormat="1" ht="24" customHeight="1">
      <c r="C40" s="151"/>
      <c r="D40" s="142"/>
      <c r="E40" s="174"/>
      <c r="F40" s="181"/>
      <c r="G40" s="164"/>
      <c r="H40" s="177"/>
      <c r="I40" s="181"/>
      <c r="J40" s="181"/>
      <c r="K40" s="136" t="s">
        <v>92</v>
      </c>
      <c r="L40" s="256">
        <f>AD49</f>
        <v>0</v>
      </c>
      <c r="M40" s="137" t="s">
        <v>93</v>
      </c>
      <c r="N40" s="258">
        <f>IFERROR(VLOOKUP(CONCATENATE("# English (incl. piping)",L40),'TCT Lookup'!A:E,5,FALSE),0)</f>
        <v>0</v>
      </c>
      <c r="O40" s="178"/>
      <c r="P40" s="179"/>
      <c r="Q40" s="209"/>
      <c r="R40" s="180"/>
      <c r="S40" s="181"/>
      <c r="T40" s="181"/>
      <c r="U40" s="184"/>
    </row>
    <row r="41" spans="3:33" s="38" customFormat="1" ht="24" customHeight="1" thickBot="1">
      <c r="C41" s="182"/>
      <c r="D41" s="181"/>
      <c r="E41" s="174"/>
      <c r="F41" s="181"/>
      <c r="G41" s="185"/>
      <c r="H41" s="186"/>
      <c r="I41" s="181"/>
      <c r="J41" s="181"/>
      <c r="K41" s="143" t="s">
        <v>94</v>
      </c>
      <c r="L41" s="257">
        <f>AE49</f>
        <v>0</v>
      </c>
      <c r="M41" s="159" t="s">
        <v>95</v>
      </c>
      <c r="N41" s="259">
        <f>IFERROR(VLOOKUP(CONCATENATE("# French binding",L41),'TCT Lookup'!A:E,5,FALSE),0)</f>
        <v>0</v>
      </c>
      <c r="O41" s="96"/>
      <c r="P41" s="96"/>
      <c r="Q41" s="96"/>
      <c r="R41" s="96"/>
      <c r="S41" s="181"/>
      <c r="T41" s="181"/>
      <c r="U41" s="184"/>
    </row>
    <row r="42" spans="3:33" s="16" customFormat="1" ht="21.9" customHeight="1" thickBot="1">
      <c r="C42" s="151"/>
      <c r="D42" s="142"/>
      <c r="E42" s="174"/>
      <c r="F42" s="142"/>
      <c r="G42" s="142"/>
      <c r="H42" s="142"/>
      <c r="I42" s="129"/>
      <c r="J42" s="142"/>
      <c r="K42" s="143" t="s">
        <v>96</v>
      </c>
      <c r="L42" s="159">
        <v>3</v>
      </c>
      <c r="M42" s="159" t="s">
        <v>97</v>
      </c>
      <c r="N42" s="259">
        <f>IFERROR(VLOOKUP(CONCATENATE("# No sew binding",L42),'TCT Lookup'!A:E,5,FALSE),0)</f>
        <v>1.9313304721030042</v>
      </c>
      <c r="O42" s="183"/>
      <c r="P42" s="213" t="s">
        <v>175</v>
      </c>
      <c r="Q42" s="212"/>
      <c r="R42" s="255">
        <f>SUM(R33:R39,R23:R31,R20:R21,N20:N28,N30:N34,N40:N43,N36:N38)</f>
        <v>5.4931613605163783</v>
      </c>
      <c r="S42" s="142"/>
      <c r="T42" s="142"/>
      <c r="U42" s="153"/>
    </row>
    <row r="43" spans="3:33" s="19" customFormat="1" ht="21.6" thickBot="1">
      <c r="C43" s="26"/>
      <c r="E43" s="32"/>
      <c r="J43" s="6"/>
      <c r="K43" s="157" t="s">
        <v>2</v>
      </c>
      <c r="L43" s="247"/>
      <c r="M43" s="311" t="s">
        <v>98</v>
      </c>
      <c r="N43" s="261">
        <f>IFERROR(VLOOKUP(CONCATENATE("Pocket construction", L43),'TCT Lookup'!A:E,5,FALSE),0)</f>
        <v>0</v>
      </c>
      <c r="U43" s="36"/>
    </row>
    <row r="44" spans="3:33" s="5" customFormat="1" ht="23.4" hidden="1" customHeight="1">
      <c r="C44" s="27"/>
      <c r="F44" s="19"/>
      <c r="J44" s="6"/>
      <c r="K44" s="6"/>
      <c r="L44" s="6"/>
      <c r="M44" s="312"/>
      <c r="N44" s="7"/>
      <c r="O44" s="8"/>
      <c r="Q44" s="210"/>
      <c r="U44" s="28"/>
    </row>
    <row r="45" spans="3:33" s="5" customFormat="1" ht="23.1" customHeight="1">
      <c r="C45" s="27"/>
      <c r="F45" s="19"/>
      <c r="J45" s="6"/>
      <c r="K45" s="6"/>
      <c r="L45" s="6"/>
      <c r="M45" s="312"/>
      <c r="N45" s="7"/>
      <c r="O45" s="8"/>
      <c r="Q45" s="210"/>
      <c r="U45" s="28"/>
    </row>
    <row r="46" spans="3:33" s="5" customFormat="1" ht="13.8" thickBot="1">
      <c r="C46" s="33"/>
      <c r="D46" s="34"/>
      <c r="E46" s="34"/>
      <c r="F46" s="34"/>
      <c r="G46" s="34"/>
      <c r="H46" s="34"/>
      <c r="I46" s="34"/>
      <c r="J46" s="34"/>
      <c r="K46" s="34"/>
      <c r="L46" s="34"/>
      <c r="M46" s="211"/>
      <c r="N46" s="34"/>
      <c r="O46" s="34"/>
      <c r="P46" s="34"/>
      <c r="Q46" s="211"/>
      <c r="R46" s="34"/>
      <c r="S46" s="34"/>
      <c r="T46" s="34"/>
      <c r="U46" s="35"/>
    </row>
    <row r="47" spans="3:33" s="5" customFormat="1" ht="13.8" thickBot="1">
      <c r="M47" s="210"/>
      <c r="Q47" s="210"/>
    </row>
    <row r="48" spans="3:33" s="10" customFormat="1" ht="36" thickBot="1">
      <c r="C48" s="237" t="s">
        <v>176</v>
      </c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8"/>
      <c r="P48" s="238"/>
      <c r="Q48" s="238"/>
      <c r="R48" s="238"/>
      <c r="S48" s="238"/>
      <c r="T48" s="238"/>
      <c r="U48" s="239"/>
      <c r="V48" s="68"/>
      <c r="W48" s="82" t="s">
        <v>151</v>
      </c>
      <c r="X48" s="187"/>
      <c r="Y48" s="187"/>
      <c r="Z48" s="187"/>
      <c r="AA48" s="187"/>
      <c r="AB48" s="187"/>
      <c r="AC48" s="187"/>
      <c r="AD48" s="187"/>
      <c r="AE48" s="187"/>
      <c r="AF48" s="42" t="s">
        <v>162</v>
      </c>
      <c r="AG48" s="42" t="s">
        <v>112</v>
      </c>
    </row>
    <row r="49" spans="3:34" ht="18" thickBot="1">
      <c r="C49" s="17"/>
      <c r="U49" s="18"/>
      <c r="V49" s="63"/>
      <c r="W49" s="302">
        <f t="shared" ref="W49:AG49" si="0">SUM(W51:W213)</f>
        <v>0</v>
      </c>
      <c r="X49" s="302">
        <f t="shared" si="0"/>
        <v>0</v>
      </c>
      <c r="Y49" s="302">
        <f t="shared" si="0"/>
        <v>0</v>
      </c>
      <c r="Z49" s="302">
        <f t="shared" si="0"/>
        <v>0</v>
      </c>
      <c r="AA49" s="302">
        <f t="shared" si="0"/>
        <v>0</v>
      </c>
      <c r="AB49" s="302">
        <f t="shared" si="0"/>
        <v>0</v>
      </c>
      <c r="AC49" s="302">
        <f t="shared" si="0"/>
        <v>0</v>
      </c>
      <c r="AD49" s="302">
        <f t="shared" si="0"/>
        <v>0</v>
      </c>
      <c r="AE49" s="302">
        <f t="shared" si="0"/>
        <v>0</v>
      </c>
      <c r="AF49" s="302">
        <f t="shared" si="0"/>
        <v>0</v>
      </c>
      <c r="AG49" s="303">
        <f t="shared" si="0"/>
        <v>0</v>
      </c>
      <c r="AH49" s="81"/>
    </row>
    <row r="50" spans="3:34" s="21" customFormat="1" ht="57.9" customHeight="1" thickBot="1">
      <c r="C50" s="188" t="s">
        <v>177</v>
      </c>
      <c r="D50" s="188" t="s">
        <v>178</v>
      </c>
      <c r="E50" s="188" t="s">
        <v>179</v>
      </c>
      <c r="F50" s="188" t="s">
        <v>180</v>
      </c>
      <c r="G50" s="188" t="s">
        <v>181</v>
      </c>
      <c r="H50" s="188" t="s">
        <v>182</v>
      </c>
      <c r="I50" s="188" t="s">
        <v>183</v>
      </c>
      <c r="J50" s="188" t="s">
        <v>184</v>
      </c>
      <c r="K50" s="188" t="s">
        <v>185</v>
      </c>
      <c r="L50" s="188" t="s">
        <v>186</v>
      </c>
      <c r="M50" s="313"/>
      <c r="N50" s="188" t="s">
        <v>187</v>
      </c>
      <c r="O50" s="188" t="s">
        <v>188</v>
      </c>
      <c r="P50" s="47" t="s">
        <v>1435</v>
      </c>
      <c r="Q50" s="188"/>
      <c r="R50" s="188" t="s">
        <v>1436</v>
      </c>
      <c r="S50" s="189" t="s">
        <v>189</v>
      </c>
      <c r="T50" s="189" t="s">
        <v>1479</v>
      </c>
      <c r="U50" s="48"/>
      <c r="V50" s="70"/>
      <c r="W50" s="20" t="s">
        <v>64</v>
      </c>
      <c r="X50" s="20" t="s">
        <v>66</v>
      </c>
      <c r="Y50" s="20" t="s">
        <v>68</v>
      </c>
      <c r="Z50" s="20" t="s">
        <v>157</v>
      </c>
      <c r="AA50" s="20" t="s">
        <v>71</v>
      </c>
      <c r="AB50" s="20" t="s">
        <v>73</v>
      </c>
      <c r="AC50" s="20" t="s">
        <v>75</v>
      </c>
      <c r="AD50" s="20" t="s">
        <v>92</v>
      </c>
      <c r="AE50" s="41" t="s">
        <v>94</v>
      </c>
      <c r="AF50" s="20" t="s">
        <v>190</v>
      </c>
      <c r="AG50" s="20" t="s">
        <v>191</v>
      </c>
    </row>
    <row r="51" spans="3:34" s="49" customFormat="1" ht="139.80000000000001" thickBot="1">
      <c r="C51" s="267"/>
      <c r="D51" s="266" t="s">
        <v>1490</v>
      </c>
      <c r="E51" s="268" t="s">
        <v>1491</v>
      </c>
      <c r="F51" s="269" t="s">
        <v>1492</v>
      </c>
      <c r="G51" s="266" t="s">
        <v>1493</v>
      </c>
      <c r="H51" s="270" t="s">
        <v>1494</v>
      </c>
      <c r="I51" s="270" t="s">
        <v>1495</v>
      </c>
      <c r="J51" s="271" t="s">
        <v>1496</v>
      </c>
      <c r="K51" s="54" t="s">
        <v>1497</v>
      </c>
      <c r="L51" s="55" t="s">
        <v>1498</v>
      </c>
      <c r="M51" s="314"/>
      <c r="N51" s="56" t="s">
        <v>1499</v>
      </c>
      <c r="O51" s="55" t="s">
        <v>1500</v>
      </c>
      <c r="P51" s="55" t="s">
        <v>1501</v>
      </c>
      <c r="Q51" s="55"/>
      <c r="R51" s="335" t="e">
        <f>N51*(1+O51)*(1+P51)</f>
        <v>#VALUE!</v>
      </c>
      <c r="S51" s="337" t="e">
        <f>IF(OR(K51&lt;&gt;0,K51&lt;&gt;""),(K51+L51)*R51,R51*(J51+L51))</f>
        <v>#VALUE!</v>
      </c>
      <c r="T51" s="50" t="s">
        <v>1505</v>
      </c>
      <c r="U51" s="74"/>
      <c r="V51" s="71"/>
      <c r="W51" s="304"/>
      <c r="X51" s="305"/>
      <c r="Y51" s="305"/>
      <c r="Z51" s="305"/>
      <c r="AA51" s="305"/>
      <c r="AB51" s="305"/>
      <c r="AC51" s="305"/>
      <c r="AD51" s="305"/>
      <c r="AE51" s="305"/>
      <c r="AF51" s="305"/>
      <c r="AG51" s="306"/>
    </row>
    <row r="52" spans="3:34" s="51" customFormat="1" ht="18" thickBot="1">
      <c r="C52" s="267"/>
      <c r="D52" s="266"/>
      <c r="E52" s="272"/>
      <c r="F52" s="269"/>
      <c r="G52" s="266"/>
      <c r="H52" s="270"/>
      <c r="I52" s="270"/>
      <c r="J52" s="271"/>
      <c r="K52" s="54"/>
      <c r="L52" s="55"/>
      <c r="M52" s="314"/>
      <c r="N52" s="56"/>
      <c r="O52" s="55"/>
      <c r="P52" s="55"/>
      <c r="Q52" s="55"/>
      <c r="R52" s="335">
        <f t="shared" ref="R52:R115" si="1">N52*(1+O52)*(1+P52)</f>
        <v>0</v>
      </c>
      <c r="S52" s="337">
        <f t="shared" ref="S52:S115" si="2">IF(OR(K52&lt;&gt;0,K52&lt;&gt;""),(K52+L52)*R52,R52*(J52+L52))</f>
        <v>0</v>
      </c>
      <c r="T52" s="50"/>
      <c r="U52" s="74"/>
      <c r="V52" s="72"/>
      <c r="W52" s="304"/>
      <c r="X52" s="305"/>
      <c r="Y52" s="305"/>
      <c r="Z52" s="305"/>
      <c r="AA52" s="305"/>
      <c r="AB52" s="305"/>
      <c r="AC52" s="305"/>
      <c r="AD52" s="305"/>
      <c r="AE52" s="305"/>
      <c r="AF52" s="305"/>
      <c r="AG52" s="306"/>
    </row>
    <row r="53" spans="3:34" s="52" customFormat="1" ht="18" thickBot="1">
      <c r="C53" s="267"/>
      <c r="D53" s="266"/>
      <c r="E53" s="268"/>
      <c r="F53" s="269"/>
      <c r="G53" s="272"/>
      <c r="H53" s="273"/>
      <c r="I53" s="273"/>
      <c r="J53" s="274"/>
      <c r="K53" s="54"/>
      <c r="L53" s="55"/>
      <c r="M53" s="314"/>
      <c r="N53" s="56"/>
      <c r="O53" s="55"/>
      <c r="P53" s="55"/>
      <c r="Q53" s="55"/>
      <c r="R53" s="335">
        <f t="shared" si="1"/>
        <v>0</v>
      </c>
      <c r="S53" s="337">
        <f t="shared" si="2"/>
        <v>0</v>
      </c>
      <c r="T53" s="50"/>
      <c r="U53" s="74"/>
      <c r="V53" s="73"/>
      <c r="W53" s="304"/>
      <c r="X53" s="305"/>
      <c r="Y53" s="305"/>
      <c r="Z53" s="305"/>
      <c r="AA53" s="305"/>
      <c r="AB53" s="305"/>
      <c r="AC53" s="305"/>
      <c r="AD53" s="305"/>
      <c r="AE53" s="305"/>
      <c r="AF53" s="305"/>
      <c r="AG53" s="306"/>
    </row>
    <row r="54" spans="3:34" s="49" customFormat="1" ht="18" thickBot="1">
      <c r="C54" s="267"/>
      <c r="D54" s="268"/>
      <c r="E54" s="268"/>
      <c r="F54" s="268"/>
      <c r="G54" s="268"/>
      <c r="H54" s="268"/>
      <c r="I54" s="268"/>
      <c r="J54" s="275"/>
      <c r="K54" s="54"/>
      <c r="L54" s="55"/>
      <c r="M54" s="314"/>
      <c r="N54" s="56"/>
      <c r="O54" s="55"/>
      <c r="P54" s="55"/>
      <c r="Q54" s="55"/>
      <c r="R54" s="335">
        <f t="shared" si="1"/>
        <v>0</v>
      </c>
      <c r="S54" s="337">
        <f t="shared" si="2"/>
        <v>0</v>
      </c>
      <c r="T54" s="50"/>
      <c r="U54" s="74"/>
      <c r="V54" s="71"/>
      <c r="W54" s="304"/>
      <c r="X54" s="305"/>
      <c r="Y54" s="305"/>
      <c r="Z54" s="305"/>
      <c r="AA54" s="305"/>
      <c r="AB54" s="305"/>
      <c r="AC54" s="305"/>
      <c r="AD54" s="305"/>
      <c r="AE54" s="305"/>
      <c r="AF54" s="305"/>
      <c r="AG54" s="306"/>
    </row>
    <row r="55" spans="3:34" s="51" customFormat="1" ht="18" thickBot="1">
      <c r="C55" s="276"/>
      <c r="D55" s="277"/>
      <c r="E55" s="277"/>
      <c r="F55" s="277"/>
      <c r="G55" s="277"/>
      <c r="H55" s="277"/>
      <c r="I55" s="277"/>
      <c r="J55" s="278"/>
      <c r="K55" s="54"/>
      <c r="L55" s="55"/>
      <c r="M55" s="314"/>
      <c r="N55" s="56"/>
      <c r="O55" s="55"/>
      <c r="P55" s="55"/>
      <c r="Q55" s="55"/>
      <c r="R55" s="335">
        <f t="shared" si="1"/>
        <v>0</v>
      </c>
      <c r="S55" s="337">
        <f t="shared" si="2"/>
        <v>0</v>
      </c>
      <c r="T55" s="50"/>
      <c r="U55" s="74"/>
      <c r="V55" s="72"/>
      <c r="W55" s="304"/>
      <c r="X55" s="305"/>
      <c r="Y55" s="305"/>
      <c r="Z55" s="305"/>
      <c r="AA55" s="305"/>
      <c r="AB55" s="305"/>
      <c r="AC55" s="305"/>
      <c r="AD55" s="305"/>
      <c r="AE55" s="305"/>
      <c r="AF55" s="305"/>
      <c r="AG55" s="306"/>
    </row>
    <row r="56" spans="3:34" s="51" customFormat="1" ht="18" thickBot="1">
      <c r="C56" s="327"/>
      <c r="D56" s="328"/>
      <c r="E56" s="328"/>
      <c r="F56" s="328"/>
      <c r="G56" s="328"/>
      <c r="H56" s="328"/>
      <c r="I56" s="328"/>
      <c r="J56" s="329"/>
      <c r="K56" s="330"/>
      <c r="L56" s="331"/>
      <c r="M56" s="332"/>
      <c r="N56" s="333"/>
      <c r="O56" s="331"/>
      <c r="P56" s="331"/>
      <c r="Q56" s="331"/>
      <c r="R56" s="335">
        <f t="shared" si="1"/>
        <v>0</v>
      </c>
      <c r="S56" s="337">
        <f t="shared" si="2"/>
        <v>0</v>
      </c>
      <c r="T56" s="50"/>
      <c r="U56" s="74"/>
      <c r="V56" s="72"/>
      <c r="W56" s="304"/>
      <c r="X56" s="305"/>
      <c r="Y56" s="305"/>
      <c r="Z56" s="305"/>
      <c r="AA56" s="305"/>
      <c r="AB56" s="305"/>
      <c r="AC56" s="305"/>
      <c r="AD56" s="305"/>
      <c r="AE56" s="305"/>
      <c r="AF56" s="305"/>
      <c r="AG56" s="306"/>
    </row>
    <row r="57" spans="3:34" s="51" customFormat="1" ht="18" thickBot="1">
      <c r="C57" s="327"/>
      <c r="D57" s="328"/>
      <c r="E57" s="328"/>
      <c r="F57" s="328"/>
      <c r="G57" s="328"/>
      <c r="H57" s="328"/>
      <c r="I57" s="328"/>
      <c r="J57" s="329"/>
      <c r="K57" s="330"/>
      <c r="L57" s="331"/>
      <c r="M57" s="332"/>
      <c r="N57" s="333"/>
      <c r="O57" s="331"/>
      <c r="P57" s="331"/>
      <c r="Q57" s="331"/>
      <c r="R57" s="335">
        <f t="shared" si="1"/>
        <v>0</v>
      </c>
      <c r="S57" s="337">
        <f t="shared" si="2"/>
        <v>0</v>
      </c>
      <c r="T57" s="50"/>
      <c r="U57" s="74"/>
      <c r="V57" s="72"/>
      <c r="W57" s="304"/>
      <c r="X57" s="305"/>
      <c r="Y57" s="305"/>
      <c r="Z57" s="305"/>
      <c r="AA57" s="305"/>
      <c r="AB57" s="305"/>
      <c r="AC57" s="305"/>
      <c r="AD57" s="305"/>
      <c r="AE57" s="305"/>
      <c r="AF57" s="305"/>
      <c r="AG57" s="306"/>
    </row>
    <row r="58" spans="3:34" s="51" customFormat="1" ht="18" thickBot="1">
      <c r="C58" s="327"/>
      <c r="D58" s="328"/>
      <c r="E58" s="328"/>
      <c r="F58" s="328"/>
      <c r="G58" s="328"/>
      <c r="H58" s="328"/>
      <c r="I58" s="328"/>
      <c r="J58" s="329"/>
      <c r="K58" s="330"/>
      <c r="L58" s="331"/>
      <c r="M58" s="332"/>
      <c r="N58" s="333"/>
      <c r="O58" s="331"/>
      <c r="P58" s="331"/>
      <c r="Q58" s="331"/>
      <c r="R58" s="335">
        <f t="shared" si="1"/>
        <v>0</v>
      </c>
      <c r="S58" s="337">
        <f t="shared" si="2"/>
        <v>0</v>
      </c>
      <c r="T58" s="50"/>
      <c r="U58" s="74"/>
      <c r="V58" s="72"/>
      <c r="W58" s="304"/>
      <c r="X58" s="305"/>
      <c r="Y58" s="305"/>
      <c r="Z58" s="305"/>
      <c r="AA58" s="305"/>
      <c r="AB58" s="305"/>
      <c r="AC58" s="305"/>
      <c r="AD58" s="305"/>
      <c r="AE58" s="305"/>
      <c r="AF58" s="305"/>
      <c r="AG58" s="306"/>
    </row>
    <row r="59" spans="3:34" s="51" customFormat="1" ht="18" thickBot="1">
      <c r="C59" s="327"/>
      <c r="D59" s="328"/>
      <c r="E59" s="328"/>
      <c r="F59" s="328"/>
      <c r="G59" s="328"/>
      <c r="H59" s="328"/>
      <c r="I59" s="328"/>
      <c r="J59" s="329"/>
      <c r="K59" s="330"/>
      <c r="L59" s="331"/>
      <c r="M59" s="332"/>
      <c r="N59" s="333"/>
      <c r="O59" s="331"/>
      <c r="P59" s="331"/>
      <c r="Q59" s="331"/>
      <c r="R59" s="335">
        <f t="shared" si="1"/>
        <v>0</v>
      </c>
      <c r="S59" s="337">
        <f t="shared" si="2"/>
        <v>0</v>
      </c>
      <c r="T59" s="50"/>
      <c r="U59" s="74"/>
      <c r="V59" s="72"/>
      <c r="W59" s="304"/>
      <c r="X59" s="305"/>
      <c r="Y59" s="305"/>
      <c r="Z59" s="305"/>
      <c r="AA59" s="305"/>
      <c r="AB59" s="305"/>
      <c r="AC59" s="305"/>
      <c r="AD59" s="305"/>
      <c r="AE59" s="305"/>
      <c r="AF59" s="305"/>
      <c r="AG59" s="306"/>
    </row>
    <row r="60" spans="3:34" s="51" customFormat="1" ht="18" thickBot="1">
      <c r="C60" s="327"/>
      <c r="D60" s="328"/>
      <c r="E60" s="328"/>
      <c r="F60" s="328"/>
      <c r="G60" s="328"/>
      <c r="H60" s="328"/>
      <c r="I60" s="328"/>
      <c r="J60" s="329"/>
      <c r="K60" s="330"/>
      <c r="L60" s="331"/>
      <c r="M60" s="332"/>
      <c r="N60" s="333"/>
      <c r="O60" s="331"/>
      <c r="P60" s="331"/>
      <c r="Q60" s="331"/>
      <c r="R60" s="335">
        <f t="shared" si="1"/>
        <v>0</v>
      </c>
      <c r="S60" s="337">
        <f t="shared" si="2"/>
        <v>0</v>
      </c>
      <c r="T60" s="50"/>
      <c r="U60" s="74"/>
      <c r="V60" s="72"/>
      <c r="W60" s="304"/>
      <c r="X60" s="305"/>
      <c r="Y60" s="305"/>
      <c r="Z60" s="305"/>
      <c r="AA60" s="305"/>
      <c r="AB60" s="305"/>
      <c r="AC60" s="305"/>
      <c r="AD60" s="305"/>
      <c r="AE60" s="305"/>
      <c r="AF60" s="305"/>
      <c r="AG60" s="306"/>
    </row>
    <row r="61" spans="3:34" s="51" customFormat="1" ht="18" thickBot="1">
      <c r="C61" s="327"/>
      <c r="D61" s="328"/>
      <c r="E61" s="328"/>
      <c r="F61" s="328"/>
      <c r="G61" s="328"/>
      <c r="H61" s="328"/>
      <c r="I61" s="328"/>
      <c r="J61" s="329"/>
      <c r="K61" s="330"/>
      <c r="L61" s="331"/>
      <c r="M61" s="332"/>
      <c r="N61" s="333"/>
      <c r="O61" s="331"/>
      <c r="P61" s="331"/>
      <c r="Q61" s="331"/>
      <c r="R61" s="335">
        <f t="shared" si="1"/>
        <v>0</v>
      </c>
      <c r="S61" s="337">
        <f t="shared" si="2"/>
        <v>0</v>
      </c>
      <c r="T61" s="50"/>
      <c r="U61" s="74"/>
      <c r="V61" s="72"/>
      <c r="W61" s="304"/>
      <c r="X61" s="305"/>
      <c r="Y61" s="305"/>
      <c r="Z61" s="305"/>
      <c r="AA61" s="305"/>
      <c r="AB61" s="305"/>
      <c r="AC61" s="305"/>
      <c r="AD61" s="305"/>
      <c r="AE61" s="305"/>
      <c r="AF61" s="305"/>
      <c r="AG61" s="306"/>
    </row>
    <row r="62" spans="3:34" s="51" customFormat="1" ht="18" thickBot="1">
      <c r="C62" s="327"/>
      <c r="D62" s="328"/>
      <c r="E62" s="328"/>
      <c r="F62" s="328"/>
      <c r="G62" s="328"/>
      <c r="H62" s="328"/>
      <c r="I62" s="328"/>
      <c r="J62" s="329"/>
      <c r="K62" s="330"/>
      <c r="L62" s="331"/>
      <c r="M62" s="332"/>
      <c r="N62" s="333"/>
      <c r="O62" s="331"/>
      <c r="P62" s="331"/>
      <c r="Q62" s="331"/>
      <c r="R62" s="335">
        <f t="shared" si="1"/>
        <v>0</v>
      </c>
      <c r="S62" s="337">
        <f t="shared" si="2"/>
        <v>0</v>
      </c>
      <c r="T62" s="50"/>
      <c r="U62" s="74"/>
      <c r="V62" s="72"/>
      <c r="W62" s="304"/>
      <c r="X62" s="305"/>
      <c r="Y62" s="305"/>
      <c r="Z62" s="305"/>
      <c r="AA62" s="305"/>
      <c r="AB62" s="305"/>
      <c r="AC62" s="305"/>
      <c r="AD62" s="305"/>
      <c r="AE62" s="305"/>
      <c r="AF62" s="305"/>
      <c r="AG62" s="306"/>
    </row>
    <row r="63" spans="3:34" s="51" customFormat="1" ht="18" thickBot="1">
      <c r="C63" s="327"/>
      <c r="D63" s="328"/>
      <c r="E63" s="328"/>
      <c r="F63" s="328"/>
      <c r="G63" s="328"/>
      <c r="H63" s="328"/>
      <c r="I63" s="328"/>
      <c r="J63" s="329"/>
      <c r="K63" s="330"/>
      <c r="L63" s="331"/>
      <c r="M63" s="332"/>
      <c r="N63" s="333"/>
      <c r="O63" s="331"/>
      <c r="P63" s="331"/>
      <c r="Q63" s="331"/>
      <c r="R63" s="335">
        <f t="shared" si="1"/>
        <v>0</v>
      </c>
      <c r="S63" s="337">
        <f t="shared" si="2"/>
        <v>0</v>
      </c>
      <c r="T63" s="50"/>
      <c r="U63" s="74"/>
      <c r="V63" s="72"/>
      <c r="W63" s="304"/>
      <c r="X63" s="305"/>
      <c r="Y63" s="305"/>
      <c r="Z63" s="305"/>
      <c r="AA63" s="305"/>
      <c r="AB63" s="305"/>
      <c r="AC63" s="305"/>
      <c r="AD63" s="305"/>
      <c r="AE63" s="305"/>
      <c r="AF63" s="305"/>
      <c r="AG63" s="306"/>
    </row>
    <row r="64" spans="3:34" s="51" customFormat="1" ht="18" thickBot="1">
      <c r="C64" s="327"/>
      <c r="D64" s="328"/>
      <c r="E64" s="328"/>
      <c r="F64" s="328"/>
      <c r="G64" s="328"/>
      <c r="H64" s="328"/>
      <c r="I64" s="328"/>
      <c r="J64" s="329"/>
      <c r="K64" s="330"/>
      <c r="L64" s="331"/>
      <c r="M64" s="332"/>
      <c r="N64" s="333"/>
      <c r="O64" s="331"/>
      <c r="P64" s="331"/>
      <c r="Q64" s="331"/>
      <c r="R64" s="335">
        <f t="shared" si="1"/>
        <v>0</v>
      </c>
      <c r="S64" s="337">
        <f t="shared" si="2"/>
        <v>0</v>
      </c>
      <c r="T64" s="50"/>
      <c r="U64" s="74"/>
      <c r="V64" s="72"/>
      <c r="W64" s="304"/>
      <c r="X64" s="305"/>
      <c r="Y64" s="305"/>
      <c r="Z64" s="305"/>
      <c r="AA64" s="305"/>
      <c r="AB64" s="305"/>
      <c r="AC64" s="305"/>
      <c r="AD64" s="305"/>
      <c r="AE64" s="305"/>
      <c r="AF64" s="305"/>
      <c r="AG64" s="306"/>
    </row>
    <row r="65" spans="3:33" s="51" customFormat="1" ht="18" thickBot="1">
      <c r="C65" s="327"/>
      <c r="D65" s="328"/>
      <c r="E65" s="328"/>
      <c r="F65" s="328"/>
      <c r="G65" s="328"/>
      <c r="H65" s="328"/>
      <c r="I65" s="328"/>
      <c r="J65" s="329"/>
      <c r="K65" s="330"/>
      <c r="L65" s="331"/>
      <c r="M65" s="332"/>
      <c r="N65" s="333"/>
      <c r="O65" s="331"/>
      <c r="P65" s="331"/>
      <c r="Q65" s="331"/>
      <c r="R65" s="335">
        <f t="shared" si="1"/>
        <v>0</v>
      </c>
      <c r="S65" s="337">
        <f t="shared" si="2"/>
        <v>0</v>
      </c>
      <c r="T65" s="50"/>
      <c r="U65" s="74"/>
      <c r="V65" s="72"/>
      <c r="W65" s="304"/>
      <c r="X65" s="305"/>
      <c r="Y65" s="305"/>
      <c r="Z65" s="305"/>
      <c r="AA65" s="305"/>
      <c r="AB65" s="305"/>
      <c r="AC65" s="305"/>
      <c r="AD65" s="305"/>
      <c r="AE65" s="305"/>
      <c r="AF65" s="305"/>
      <c r="AG65" s="306"/>
    </row>
    <row r="66" spans="3:33" s="51" customFormat="1" ht="18" thickBot="1">
      <c r="C66" s="327"/>
      <c r="D66" s="328"/>
      <c r="E66" s="328"/>
      <c r="F66" s="328"/>
      <c r="G66" s="328"/>
      <c r="H66" s="328"/>
      <c r="I66" s="328"/>
      <c r="J66" s="329"/>
      <c r="K66" s="330"/>
      <c r="L66" s="331"/>
      <c r="M66" s="332"/>
      <c r="N66" s="333"/>
      <c r="O66" s="331"/>
      <c r="P66" s="331"/>
      <c r="Q66" s="331"/>
      <c r="R66" s="335">
        <f t="shared" si="1"/>
        <v>0</v>
      </c>
      <c r="S66" s="337">
        <f t="shared" si="2"/>
        <v>0</v>
      </c>
      <c r="T66" s="50"/>
      <c r="U66" s="74"/>
      <c r="V66" s="72"/>
      <c r="W66" s="304"/>
      <c r="X66" s="305"/>
      <c r="Y66" s="305"/>
      <c r="Z66" s="305"/>
      <c r="AA66" s="305"/>
      <c r="AB66" s="305"/>
      <c r="AC66" s="305"/>
      <c r="AD66" s="305"/>
      <c r="AE66" s="305"/>
      <c r="AF66" s="305"/>
      <c r="AG66" s="306"/>
    </row>
    <row r="67" spans="3:33" s="51" customFormat="1" ht="18" thickBot="1">
      <c r="C67" s="327"/>
      <c r="D67" s="328"/>
      <c r="E67" s="328"/>
      <c r="F67" s="328"/>
      <c r="G67" s="328"/>
      <c r="H67" s="328"/>
      <c r="I67" s="328"/>
      <c r="J67" s="329"/>
      <c r="K67" s="330"/>
      <c r="L67" s="331"/>
      <c r="M67" s="332"/>
      <c r="N67" s="333"/>
      <c r="O67" s="331"/>
      <c r="P67" s="331"/>
      <c r="Q67" s="331"/>
      <c r="R67" s="335">
        <f t="shared" si="1"/>
        <v>0</v>
      </c>
      <c r="S67" s="337">
        <f t="shared" si="2"/>
        <v>0</v>
      </c>
      <c r="T67" s="50"/>
      <c r="U67" s="74"/>
      <c r="V67" s="72"/>
      <c r="W67" s="304"/>
      <c r="X67" s="305"/>
      <c r="Y67" s="305"/>
      <c r="Z67" s="305"/>
      <c r="AA67" s="305"/>
      <c r="AB67" s="305"/>
      <c r="AC67" s="305"/>
      <c r="AD67" s="305"/>
      <c r="AE67" s="305"/>
      <c r="AF67" s="305"/>
      <c r="AG67" s="306"/>
    </row>
    <row r="68" spans="3:33" s="51" customFormat="1" ht="18" thickBot="1">
      <c r="C68" s="327"/>
      <c r="D68" s="328"/>
      <c r="E68" s="328"/>
      <c r="F68" s="328"/>
      <c r="G68" s="328"/>
      <c r="H68" s="328"/>
      <c r="I68" s="328"/>
      <c r="J68" s="329"/>
      <c r="K68" s="330"/>
      <c r="L68" s="331"/>
      <c r="M68" s="332"/>
      <c r="N68" s="333"/>
      <c r="O68" s="331"/>
      <c r="P68" s="331"/>
      <c r="Q68" s="331"/>
      <c r="R68" s="335">
        <f t="shared" si="1"/>
        <v>0</v>
      </c>
      <c r="S68" s="337">
        <f t="shared" si="2"/>
        <v>0</v>
      </c>
      <c r="T68" s="50"/>
      <c r="U68" s="74"/>
      <c r="V68" s="72"/>
      <c r="W68" s="304"/>
      <c r="X68" s="305"/>
      <c r="Y68" s="305"/>
      <c r="Z68" s="305"/>
      <c r="AA68" s="305"/>
      <c r="AB68" s="305"/>
      <c r="AC68" s="305"/>
      <c r="AD68" s="305"/>
      <c r="AE68" s="305"/>
      <c r="AF68" s="305"/>
      <c r="AG68" s="306"/>
    </row>
    <row r="69" spans="3:33" s="51" customFormat="1" ht="18" thickBot="1">
      <c r="C69" s="327"/>
      <c r="D69" s="328"/>
      <c r="E69" s="328"/>
      <c r="F69" s="328"/>
      <c r="G69" s="328"/>
      <c r="H69" s="328"/>
      <c r="I69" s="328"/>
      <c r="J69" s="329"/>
      <c r="K69" s="330"/>
      <c r="L69" s="331"/>
      <c r="M69" s="332"/>
      <c r="N69" s="333"/>
      <c r="O69" s="331"/>
      <c r="P69" s="331"/>
      <c r="Q69" s="331"/>
      <c r="R69" s="335">
        <f t="shared" si="1"/>
        <v>0</v>
      </c>
      <c r="S69" s="337">
        <f t="shared" si="2"/>
        <v>0</v>
      </c>
      <c r="T69" s="50"/>
      <c r="U69" s="74"/>
      <c r="V69" s="72"/>
      <c r="W69" s="304"/>
      <c r="X69" s="305"/>
      <c r="Y69" s="305"/>
      <c r="Z69" s="305"/>
      <c r="AA69" s="305"/>
      <c r="AB69" s="305"/>
      <c r="AC69" s="305"/>
      <c r="AD69" s="305"/>
      <c r="AE69" s="305"/>
      <c r="AF69" s="305"/>
      <c r="AG69" s="306"/>
    </row>
    <row r="70" spans="3:33" s="51" customFormat="1" ht="18" thickBot="1">
      <c r="C70" s="327"/>
      <c r="D70" s="328"/>
      <c r="E70" s="328"/>
      <c r="F70" s="328"/>
      <c r="G70" s="328"/>
      <c r="H70" s="328"/>
      <c r="I70" s="328"/>
      <c r="J70" s="329"/>
      <c r="K70" s="330"/>
      <c r="L70" s="331"/>
      <c r="M70" s="332"/>
      <c r="N70" s="333"/>
      <c r="O70" s="331"/>
      <c r="P70" s="331"/>
      <c r="Q70" s="331"/>
      <c r="R70" s="335">
        <f t="shared" si="1"/>
        <v>0</v>
      </c>
      <c r="S70" s="337">
        <f t="shared" si="2"/>
        <v>0</v>
      </c>
      <c r="T70" s="50"/>
      <c r="U70" s="74"/>
      <c r="V70" s="72"/>
      <c r="W70" s="304"/>
      <c r="X70" s="305"/>
      <c r="Y70" s="305"/>
      <c r="Z70" s="305"/>
      <c r="AA70" s="305"/>
      <c r="AB70" s="305"/>
      <c r="AC70" s="305"/>
      <c r="AD70" s="305"/>
      <c r="AE70" s="305"/>
      <c r="AF70" s="305"/>
      <c r="AG70" s="306"/>
    </row>
    <row r="71" spans="3:33" s="51" customFormat="1" ht="18" thickBot="1">
      <c r="C71" s="327"/>
      <c r="D71" s="328"/>
      <c r="E71" s="328"/>
      <c r="F71" s="328"/>
      <c r="G71" s="328"/>
      <c r="H71" s="328"/>
      <c r="I71" s="328"/>
      <c r="J71" s="329"/>
      <c r="K71" s="330"/>
      <c r="L71" s="331"/>
      <c r="M71" s="332"/>
      <c r="N71" s="333"/>
      <c r="O71" s="331"/>
      <c r="P71" s="331"/>
      <c r="Q71" s="331"/>
      <c r="R71" s="335">
        <f t="shared" si="1"/>
        <v>0</v>
      </c>
      <c r="S71" s="337">
        <f t="shared" si="2"/>
        <v>0</v>
      </c>
      <c r="T71" s="50"/>
      <c r="U71" s="74"/>
      <c r="V71" s="72"/>
      <c r="W71" s="304"/>
      <c r="X71" s="305"/>
      <c r="Y71" s="305"/>
      <c r="Z71" s="305"/>
      <c r="AA71" s="305"/>
      <c r="AB71" s="305"/>
      <c r="AC71" s="305"/>
      <c r="AD71" s="305"/>
      <c r="AE71" s="305"/>
      <c r="AF71" s="305"/>
      <c r="AG71" s="306"/>
    </row>
    <row r="72" spans="3:33" s="51" customFormat="1" ht="18" thickBot="1">
      <c r="C72" s="327"/>
      <c r="D72" s="328"/>
      <c r="E72" s="328"/>
      <c r="F72" s="328"/>
      <c r="G72" s="328"/>
      <c r="H72" s="328"/>
      <c r="I72" s="328"/>
      <c r="J72" s="329"/>
      <c r="K72" s="330"/>
      <c r="L72" s="331"/>
      <c r="M72" s="332"/>
      <c r="N72" s="333"/>
      <c r="O72" s="331"/>
      <c r="P72" s="331"/>
      <c r="Q72" s="331"/>
      <c r="R72" s="335">
        <f t="shared" si="1"/>
        <v>0</v>
      </c>
      <c r="S72" s="337">
        <f t="shared" si="2"/>
        <v>0</v>
      </c>
      <c r="T72" s="50"/>
      <c r="U72" s="74"/>
      <c r="V72" s="72"/>
      <c r="W72" s="304"/>
      <c r="X72" s="305"/>
      <c r="Y72" s="305"/>
      <c r="Z72" s="305"/>
      <c r="AA72" s="305"/>
      <c r="AB72" s="305"/>
      <c r="AC72" s="305"/>
      <c r="AD72" s="305"/>
      <c r="AE72" s="305"/>
      <c r="AF72" s="305"/>
      <c r="AG72" s="306"/>
    </row>
    <row r="73" spans="3:33" s="51" customFormat="1" ht="18" thickBot="1">
      <c r="C73" s="327"/>
      <c r="D73" s="328"/>
      <c r="E73" s="328"/>
      <c r="F73" s="328"/>
      <c r="G73" s="328"/>
      <c r="H73" s="328"/>
      <c r="I73" s="328"/>
      <c r="J73" s="329"/>
      <c r="K73" s="330"/>
      <c r="L73" s="331"/>
      <c r="M73" s="332"/>
      <c r="N73" s="333"/>
      <c r="O73" s="331"/>
      <c r="P73" s="331"/>
      <c r="Q73" s="331"/>
      <c r="R73" s="335">
        <f t="shared" si="1"/>
        <v>0</v>
      </c>
      <c r="S73" s="337">
        <f t="shared" si="2"/>
        <v>0</v>
      </c>
      <c r="T73" s="50"/>
      <c r="U73" s="74"/>
      <c r="V73" s="72"/>
      <c r="W73" s="304"/>
      <c r="X73" s="305"/>
      <c r="Y73" s="305"/>
      <c r="Z73" s="305"/>
      <c r="AA73" s="305"/>
      <c r="AB73" s="305"/>
      <c r="AC73" s="305"/>
      <c r="AD73" s="305"/>
      <c r="AE73" s="305"/>
      <c r="AF73" s="305"/>
      <c r="AG73" s="306"/>
    </row>
    <row r="74" spans="3:33" s="51" customFormat="1" ht="18" thickBot="1">
      <c r="C74" s="327"/>
      <c r="D74" s="328"/>
      <c r="E74" s="328"/>
      <c r="F74" s="328"/>
      <c r="G74" s="328"/>
      <c r="H74" s="328"/>
      <c r="I74" s="328"/>
      <c r="J74" s="329"/>
      <c r="K74" s="330"/>
      <c r="L74" s="331"/>
      <c r="M74" s="332"/>
      <c r="N74" s="333"/>
      <c r="O74" s="331"/>
      <c r="P74" s="331"/>
      <c r="Q74" s="331"/>
      <c r="R74" s="335">
        <f t="shared" si="1"/>
        <v>0</v>
      </c>
      <c r="S74" s="337">
        <f t="shared" si="2"/>
        <v>0</v>
      </c>
      <c r="T74" s="50"/>
      <c r="U74" s="74"/>
      <c r="V74" s="72"/>
      <c r="W74" s="304"/>
      <c r="X74" s="305"/>
      <c r="Y74" s="305"/>
      <c r="Z74" s="305"/>
      <c r="AA74" s="305"/>
      <c r="AB74" s="305"/>
      <c r="AC74" s="305"/>
      <c r="AD74" s="305"/>
      <c r="AE74" s="305"/>
      <c r="AF74" s="305"/>
      <c r="AG74" s="306"/>
    </row>
    <row r="75" spans="3:33" s="51" customFormat="1" ht="18" thickBot="1">
      <c r="C75" s="327"/>
      <c r="D75" s="328"/>
      <c r="E75" s="328"/>
      <c r="F75" s="328"/>
      <c r="G75" s="328"/>
      <c r="H75" s="328"/>
      <c r="I75" s="328"/>
      <c r="J75" s="329"/>
      <c r="K75" s="330"/>
      <c r="L75" s="331"/>
      <c r="M75" s="332"/>
      <c r="N75" s="333"/>
      <c r="O75" s="331"/>
      <c r="P75" s="331"/>
      <c r="Q75" s="331"/>
      <c r="R75" s="335">
        <f t="shared" si="1"/>
        <v>0</v>
      </c>
      <c r="S75" s="337">
        <f t="shared" si="2"/>
        <v>0</v>
      </c>
      <c r="T75" s="50"/>
      <c r="U75" s="74"/>
      <c r="V75" s="72"/>
      <c r="W75" s="304"/>
      <c r="X75" s="305"/>
      <c r="Y75" s="305"/>
      <c r="Z75" s="305"/>
      <c r="AA75" s="305"/>
      <c r="AB75" s="305"/>
      <c r="AC75" s="305"/>
      <c r="AD75" s="305"/>
      <c r="AE75" s="305"/>
      <c r="AF75" s="305"/>
      <c r="AG75" s="306"/>
    </row>
    <row r="76" spans="3:33" s="51" customFormat="1" ht="18" thickBot="1">
      <c r="C76" s="327"/>
      <c r="D76" s="328"/>
      <c r="E76" s="328"/>
      <c r="F76" s="328"/>
      <c r="G76" s="328"/>
      <c r="H76" s="328"/>
      <c r="I76" s="328"/>
      <c r="J76" s="329"/>
      <c r="K76" s="330"/>
      <c r="L76" s="331"/>
      <c r="M76" s="332"/>
      <c r="N76" s="333"/>
      <c r="O76" s="331"/>
      <c r="P76" s="331"/>
      <c r="Q76" s="331"/>
      <c r="R76" s="335">
        <f t="shared" si="1"/>
        <v>0</v>
      </c>
      <c r="S76" s="337">
        <f t="shared" si="2"/>
        <v>0</v>
      </c>
      <c r="T76" s="50"/>
      <c r="U76" s="74"/>
      <c r="V76" s="72"/>
      <c r="W76" s="304"/>
      <c r="X76" s="305"/>
      <c r="Y76" s="305"/>
      <c r="Z76" s="305"/>
      <c r="AA76" s="305"/>
      <c r="AB76" s="305"/>
      <c r="AC76" s="305"/>
      <c r="AD76" s="305"/>
      <c r="AE76" s="305"/>
      <c r="AF76" s="305"/>
      <c r="AG76" s="306"/>
    </row>
    <row r="77" spans="3:33" s="51" customFormat="1" ht="18" thickBot="1">
      <c r="C77" s="327"/>
      <c r="D77" s="328"/>
      <c r="E77" s="328"/>
      <c r="F77" s="328"/>
      <c r="G77" s="328"/>
      <c r="H77" s="328"/>
      <c r="I77" s="328"/>
      <c r="J77" s="329"/>
      <c r="K77" s="330"/>
      <c r="L77" s="331"/>
      <c r="M77" s="332"/>
      <c r="N77" s="333"/>
      <c r="O77" s="331"/>
      <c r="P77" s="331"/>
      <c r="Q77" s="331"/>
      <c r="R77" s="335">
        <f t="shared" si="1"/>
        <v>0</v>
      </c>
      <c r="S77" s="337">
        <f t="shared" si="2"/>
        <v>0</v>
      </c>
      <c r="T77" s="50"/>
      <c r="U77" s="74"/>
      <c r="V77" s="72"/>
      <c r="W77" s="304"/>
      <c r="X77" s="305"/>
      <c r="Y77" s="305"/>
      <c r="Z77" s="305"/>
      <c r="AA77" s="305"/>
      <c r="AB77" s="305"/>
      <c r="AC77" s="305"/>
      <c r="AD77" s="305"/>
      <c r="AE77" s="305"/>
      <c r="AF77" s="305"/>
      <c r="AG77" s="306"/>
    </row>
    <row r="78" spans="3:33" s="51" customFormat="1" ht="18" thickBot="1">
      <c r="C78" s="327"/>
      <c r="D78" s="328"/>
      <c r="E78" s="328"/>
      <c r="F78" s="328"/>
      <c r="G78" s="328"/>
      <c r="H78" s="328"/>
      <c r="I78" s="328"/>
      <c r="J78" s="329"/>
      <c r="K78" s="330"/>
      <c r="L78" s="331"/>
      <c r="M78" s="332"/>
      <c r="N78" s="333"/>
      <c r="O78" s="331"/>
      <c r="P78" s="331"/>
      <c r="Q78" s="331"/>
      <c r="R78" s="335">
        <f t="shared" si="1"/>
        <v>0</v>
      </c>
      <c r="S78" s="337">
        <f t="shared" si="2"/>
        <v>0</v>
      </c>
      <c r="T78" s="50"/>
      <c r="U78" s="74"/>
      <c r="V78" s="72"/>
      <c r="W78" s="304"/>
      <c r="X78" s="305"/>
      <c r="Y78" s="305"/>
      <c r="Z78" s="305"/>
      <c r="AA78" s="305"/>
      <c r="AB78" s="305"/>
      <c r="AC78" s="305"/>
      <c r="AD78" s="305"/>
      <c r="AE78" s="305"/>
      <c r="AF78" s="305"/>
      <c r="AG78" s="306"/>
    </row>
    <row r="79" spans="3:33" s="51" customFormat="1" ht="18" thickBot="1">
      <c r="C79" s="327"/>
      <c r="D79" s="328"/>
      <c r="E79" s="328"/>
      <c r="F79" s="328"/>
      <c r="G79" s="328"/>
      <c r="H79" s="328"/>
      <c r="I79" s="328"/>
      <c r="J79" s="329"/>
      <c r="K79" s="330"/>
      <c r="L79" s="331"/>
      <c r="M79" s="332"/>
      <c r="N79" s="333"/>
      <c r="O79" s="331"/>
      <c r="P79" s="331"/>
      <c r="Q79" s="331"/>
      <c r="R79" s="335">
        <f t="shared" si="1"/>
        <v>0</v>
      </c>
      <c r="S79" s="337">
        <f t="shared" si="2"/>
        <v>0</v>
      </c>
      <c r="T79" s="50"/>
      <c r="U79" s="74"/>
      <c r="V79" s="72"/>
      <c r="W79" s="304"/>
      <c r="X79" s="305"/>
      <c r="Y79" s="305"/>
      <c r="Z79" s="305"/>
      <c r="AA79" s="305"/>
      <c r="AB79" s="305"/>
      <c r="AC79" s="305"/>
      <c r="AD79" s="305"/>
      <c r="AE79" s="305"/>
      <c r="AF79" s="305"/>
      <c r="AG79" s="306"/>
    </row>
    <row r="80" spans="3:33" s="51" customFormat="1" ht="18" thickBot="1">
      <c r="C80" s="327"/>
      <c r="D80" s="328"/>
      <c r="E80" s="328"/>
      <c r="F80" s="328"/>
      <c r="G80" s="328"/>
      <c r="H80" s="328"/>
      <c r="I80" s="328"/>
      <c r="J80" s="329"/>
      <c r="K80" s="330"/>
      <c r="L80" s="331"/>
      <c r="M80" s="332"/>
      <c r="N80" s="333"/>
      <c r="O80" s="331"/>
      <c r="P80" s="331"/>
      <c r="Q80" s="331"/>
      <c r="R80" s="335">
        <f t="shared" si="1"/>
        <v>0</v>
      </c>
      <c r="S80" s="337">
        <f t="shared" si="2"/>
        <v>0</v>
      </c>
      <c r="T80" s="50"/>
      <c r="U80" s="74"/>
      <c r="V80" s="72"/>
      <c r="W80" s="304"/>
      <c r="X80" s="305"/>
      <c r="Y80" s="305"/>
      <c r="Z80" s="305"/>
      <c r="AA80" s="305"/>
      <c r="AB80" s="305"/>
      <c r="AC80" s="305"/>
      <c r="AD80" s="305"/>
      <c r="AE80" s="305"/>
      <c r="AF80" s="305"/>
      <c r="AG80" s="306"/>
    </row>
    <row r="81" spans="3:33" s="51" customFormat="1" ht="18" thickBot="1">
      <c r="C81" s="327"/>
      <c r="D81" s="328"/>
      <c r="E81" s="328"/>
      <c r="F81" s="328"/>
      <c r="G81" s="328"/>
      <c r="H81" s="328"/>
      <c r="I81" s="328"/>
      <c r="J81" s="329"/>
      <c r="K81" s="330"/>
      <c r="L81" s="331"/>
      <c r="M81" s="332"/>
      <c r="N81" s="333"/>
      <c r="O81" s="331"/>
      <c r="P81" s="331"/>
      <c r="Q81" s="331"/>
      <c r="R81" s="335">
        <f t="shared" si="1"/>
        <v>0</v>
      </c>
      <c r="S81" s="337">
        <f t="shared" si="2"/>
        <v>0</v>
      </c>
      <c r="T81" s="50"/>
      <c r="U81" s="74"/>
      <c r="V81" s="72"/>
      <c r="W81" s="304"/>
      <c r="X81" s="305"/>
      <c r="Y81" s="305"/>
      <c r="Z81" s="305"/>
      <c r="AA81" s="305"/>
      <c r="AB81" s="305"/>
      <c r="AC81" s="305"/>
      <c r="AD81" s="305"/>
      <c r="AE81" s="305"/>
      <c r="AF81" s="305"/>
      <c r="AG81" s="306"/>
    </row>
    <row r="82" spans="3:33" s="51" customFormat="1" ht="18" thickBot="1">
      <c r="C82" s="327"/>
      <c r="D82" s="328"/>
      <c r="E82" s="328"/>
      <c r="F82" s="328"/>
      <c r="G82" s="328"/>
      <c r="H82" s="328"/>
      <c r="I82" s="328"/>
      <c r="J82" s="329"/>
      <c r="K82" s="330"/>
      <c r="L82" s="331"/>
      <c r="M82" s="332"/>
      <c r="N82" s="333"/>
      <c r="O82" s="331"/>
      <c r="P82" s="331"/>
      <c r="Q82" s="331"/>
      <c r="R82" s="335">
        <f t="shared" si="1"/>
        <v>0</v>
      </c>
      <c r="S82" s="337">
        <f t="shared" si="2"/>
        <v>0</v>
      </c>
      <c r="T82" s="50"/>
      <c r="U82" s="74"/>
      <c r="V82" s="72"/>
      <c r="W82" s="304"/>
      <c r="X82" s="305"/>
      <c r="Y82" s="305"/>
      <c r="Z82" s="305"/>
      <c r="AA82" s="305"/>
      <c r="AB82" s="305"/>
      <c r="AC82" s="305"/>
      <c r="AD82" s="305"/>
      <c r="AE82" s="305"/>
      <c r="AF82" s="305"/>
      <c r="AG82" s="306"/>
    </row>
    <row r="83" spans="3:33" s="51" customFormat="1" ht="18" thickBot="1">
      <c r="C83" s="327"/>
      <c r="D83" s="328"/>
      <c r="E83" s="328"/>
      <c r="F83" s="328"/>
      <c r="G83" s="328"/>
      <c r="H83" s="328"/>
      <c r="I83" s="328"/>
      <c r="J83" s="329"/>
      <c r="K83" s="330"/>
      <c r="L83" s="331"/>
      <c r="M83" s="332"/>
      <c r="N83" s="333"/>
      <c r="O83" s="331"/>
      <c r="P83" s="331"/>
      <c r="Q83" s="331"/>
      <c r="R83" s="335">
        <f t="shared" si="1"/>
        <v>0</v>
      </c>
      <c r="S83" s="337">
        <f t="shared" si="2"/>
        <v>0</v>
      </c>
      <c r="T83" s="50"/>
      <c r="U83" s="74"/>
      <c r="V83" s="72"/>
      <c r="W83" s="304"/>
      <c r="X83" s="305"/>
      <c r="Y83" s="305"/>
      <c r="Z83" s="305"/>
      <c r="AA83" s="305"/>
      <c r="AB83" s="305"/>
      <c r="AC83" s="305"/>
      <c r="AD83" s="305"/>
      <c r="AE83" s="305"/>
      <c r="AF83" s="305"/>
      <c r="AG83" s="306"/>
    </row>
    <row r="84" spans="3:33" s="51" customFormat="1" ht="18" thickBot="1">
      <c r="C84" s="327"/>
      <c r="D84" s="328"/>
      <c r="E84" s="328"/>
      <c r="F84" s="328"/>
      <c r="G84" s="328"/>
      <c r="H84" s="328"/>
      <c r="I84" s="328"/>
      <c r="J84" s="329"/>
      <c r="K84" s="330"/>
      <c r="L84" s="331"/>
      <c r="M84" s="332"/>
      <c r="N84" s="333"/>
      <c r="O84" s="331"/>
      <c r="P84" s="331"/>
      <c r="Q84" s="331"/>
      <c r="R84" s="335">
        <f t="shared" si="1"/>
        <v>0</v>
      </c>
      <c r="S84" s="337">
        <f t="shared" si="2"/>
        <v>0</v>
      </c>
      <c r="T84" s="50"/>
      <c r="U84" s="74"/>
      <c r="V84" s="72"/>
      <c r="W84" s="304"/>
      <c r="X84" s="305"/>
      <c r="Y84" s="305"/>
      <c r="Z84" s="305"/>
      <c r="AA84" s="305"/>
      <c r="AB84" s="305"/>
      <c r="AC84" s="305"/>
      <c r="AD84" s="305"/>
      <c r="AE84" s="305"/>
      <c r="AF84" s="305"/>
      <c r="AG84" s="306"/>
    </row>
    <row r="85" spans="3:33" s="51" customFormat="1" ht="18" thickBot="1">
      <c r="C85" s="327"/>
      <c r="D85" s="328"/>
      <c r="E85" s="328"/>
      <c r="F85" s="328"/>
      <c r="G85" s="328"/>
      <c r="H85" s="328"/>
      <c r="I85" s="328"/>
      <c r="J85" s="329"/>
      <c r="K85" s="330"/>
      <c r="L85" s="331"/>
      <c r="M85" s="332"/>
      <c r="N85" s="333"/>
      <c r="O85" s="331"/>
      <c r="P85" s="331"/>
      <c r="Q85" s="331"/>
      <c r="R85" s="335">
        <f t="shared" si="1"/>
        <v>0</v>
      </c>
      <c r="S85" s="337">
        <f t="shared" si="2"/>
        <v>0</v>
      </c>
      <c r="T85" s="50"/>
      <c r="U85" s="74"/>
      <c r="V85" s="72"/>
      <c r="W85" s="304"/>
      <c r="X85" s="305"/>
      <c r="Y85" s="305"/>
      <c r="Z85" s="305"/>
      <c r="AA85" s="305"/>
      <c r="AB85" s="305"/>
      <c r="AC85" s="305"/>
      <c r="AD85" s="305"/>
      <c r="AE85" s="305"/>
      <c r="AF85" s="305"/>
      <c r="AG85" s="306"/>
    </row>
    <row r="86" spans="3:33" s="51" customFormat="1" ht="18" thickBot="1">
      <c r="C86" s="327"/>
      <c r="D86" s="328"/>
      <c r="E86" s="328"/>
      <c r="F86" s="328"/>
      <c r="G86" s="328"/>
      <c r="H86" s="328"/>
      <c r="I86" s="328"/>
      <c r="J86" s="329"/>
      <c r="K86" s="330"/>
      <c r="L86" s="331"/>
      <c r="M86" s="332"/>
      <c r="N86" s="333"/>
      <c r="O86" s="331"/>
      <c r="P86" s="331"/>
      <c r="Q86" s="331"/>
      <c r="R86" s="335">
        <f t="shared" si="1"/>
        <v>0</v>
      </c>
      <c r="S86" s="337">
        <f t="shared" si="2"/>
        <v>0</v>
      </c>
      <c r="T86" s="50"/>
      <c r="U86" s="74"/>
      <c r="V86" s="72"/>
      <c r="W86" s="304"/>
      <c r="X86" s="305"/>
      <c r="Y86" s="305"/>
      <c r="Z86" s="305"/>
      <c r="AA86" s="305"/>
      <c r="AB86" s="305"/>
      <c r="AC86" s="305"/>
      <c r="AD86" s="305"/>
      <c r="AE86" s="305"/>
      <c r="AF86" s="305"/>
      <c r="AG86" s="306"/>
    </row>
    <row r="87" spans="3:33" s="51" customFormat="1" ht="18" thickBot="1">
      <c r="C87" s="327"/>
      <c r="D87" s="328"/>
      <c r="E87" s="328"/>
      <c r="F87" s="328"/>
      <c r="G87" s="328"/>
      <c r="H87" s="328"/>
      <c r="I87" s="328"/>
      <c r="J87" s="329"/>
      <c r="K87" s="330"/>
      <c r="L87" s="331"/>
      <c r="M87" s="332"/>
      <c r="N87" s="333"/>
      <c r="O87" s="331"/>
      <c r="P87" s="331"/>
      <c r="Q87" s="331"/>
      <c r="R87" s="335">
        <f t="shared" si="1"/>
        <v>0</v>
      </c>
      <c r="S87" s="337">
        <f t="shared" si="2"/>
        <v>0</v>
      </c>
      <c r="T87" s="50"/>
      <c r="U87" s="74"/>
      <c r="V87" s="72"/>
      <c r="W87" s="304"/>
      <c r="X87" s="305"/>
      <c r="Y87" s="305"/>
      <c r="Z87" s="305"/>
      <c r="AA87" s="305"/>
      <c r="AB87" s="305"/>
      <c r="AC87" s="305"/>
      <c r="AD87" s="305"/>
      <c r="AE87" s="305"/>
      <c r="AF87" s="305"/>
      <c r="AG87" s="306"/>
    </row>
    <row r="88" spans="3:33" s="51" customFormat="1" ht="18" thickBot="1">
      <c r="C88" s="327"/>
      <c r="D88" s="328"/>
      <c r="E88" s="328"/>
      <c r="F88" s="328"/>
      <c r="G88" s="328"/>
      <c r="H88" s="328"/>
      <c r="I88" s="328"/>
      <c r="J88" s="329"/>
      <c r="K88" s="330"/>
      <c r="L88" s="331"/>
      <c r="M88" s="332"/>
      <c r="N88" s="333"/>
      <c r="O88" s="331"/>
      <c r="P88" s="331"/>
      <c r="Q88" s="331"/>
      <c r="R88" s="335">
        <f t="shared" si="1"/>
        <v>0</v>
      </c>
      <c r="S88" s="337">
        <f t="shared" si="2"/>
        <v>0</v>
      </c>
      <c r="T88" s="50"/>
      <c r="U88" s="74"/>
      <c r="V88" s="72"/>
      <c r="W88" s="304"/>
      <c r="X88" s="305"/>
      <c r="Y88" s="305"/>
      <c r="Z88" s="305"/>
      <c r="AA88" s="305"/>
      <c r="AB88" s="305"/>
      <c r="AC88" s="305"/>
      <c r="AD88" s="305"/>
      <c r="AE88" s="305"/>
      <c r="AF88" s="305"/>
      <c r="AG88" s="306"/>
    </row>
    <row r="89" spans="3:33" s="51" customFormat="1" ht="18" thickBot="1">
      <c r="C89" s="327"/>
      <c r="D89" s="328"/>
      <c r="E89" s="328"/>
      <c r="F89" s="328"/>
      <c r="G89" s="328"/>
      <c r="H89" s="328"/>
      <c r="I89" s="328"/>
      <c r="J89" s="329"/>
      <c r="K89" s="330"/>
      <c r="L89" s="331"/>
      <c r="M89" s="332"/>
      <c r="N89" s="333"/>
      <c r="O89" s="331"/>
      <c r="P89" s="331"/>
      <c r="Q89" s="331"/>
      <c r="R89" s="335">
        <f t="shared" si="1"/>
        <v>0</v>
      </c>
      <c r="S89" s="337">
        <f t="shared" si="2"/>
        <v>0</v>
      </c>
      <c r="T89" s="50"/>
      <c r="U89" s="74"/>
      <c r="V89" s="72"/>
      <c r="W89" s="304"/>
      <c r="X89" s="305"/>
      <c r="Y89" s="305"/>
      <c r="Z89" s="305"/>
      <c r="AA89" s="305"/>
      <c r="AB89" s="305"/>
      <c r="AC89" s="305"/>
      <c r="AD89" s="305"/>
      <c r="AE89" s="305"/>
      <c r="AF89" s="305"/>
      <c r="AG89" s="306"/>
    </row>
    <row r="90" spans="3:33" s="51" customFormat="1" ht="18" thickBot="1">
      <c r="C90" s="327"/>
      <c r="D90" s="328"/>
      <c r="E90" s="328"/>
      <c r="F90" s="328"/>
      <c r="G90" s="328"/>
      <c r="H90" s="328"/>
      <c r="I90" s="328"/>
      <c r="J90" s="329"/>
      <c r="K90" s="330"/>
      <c r="L90" s="331"/>
      <c r="M90" s="332"/>
      <c r="N90" s="333"/>
      <c r="O90" s="331"/>
      <c r="P90" s="331"/>
      <c r="Q90" s="331"/>
      <c r="R90" s="335">
        <f t="shared" si="1"/>
        <v>0</v>
      </c>
      <c r="S90" s="337">
        <f t="shared" si="2"/>
        <v>0</v>
      </c>
      <c r="T90" s="50"/>
      <c r="U90" s="74"/>
      <c r="V90" s="72"/>
      <c r="W90" s="304"/>
      <c r="X90" s="305"/>
      <c r="Y90" s="305"/>
      <c r="Z90" s="305"/>
      <c r="AA90" s="305"/>
      <c r="AB90" s="305"/>
      <c r="AC90" s="305"/>
      <c r="AD90" s="305"/>
      <c r="AE90" s="305"/>
      <c r="AF90" s="305"/>
      <c r="AG90" s="306"/>
    </row>
    <row r="91" spans="3:33" s="51" customFormat="1" ht="18" thickBot="1">
      <c r="C91" s="327"/>
      <c r="D91" s="328"/>
      <c r="E91" s="328"/>
      <c r="F91" s="328"/>
      <c r="G91" s="328"/>
      <c r="H91" s="328"/>
      <c r="I91" s="328"/>
      <c r="J91" s="329"/>
      <c r="K91" s="330"/>
      <c r="L91" s="331"/>
      <c r="M91" s="332"/>
      <c r="N91" s="333"/>
      <c r="O91" s="331"/>
      <c r="P91" s="331"/>
      <c r="Q91" s="331"/>
      <c r="R91" s="335">
        <f t="shared" si="1"/>
        <v>0</v>
      </c>
      <c r="S91" s="337">
        <f t="shared" si="2"/>
        <v>0</v>
      </c>
      <c r="T91" s="50"/>
      <c r="U91" s="74"/>
      <c r="V91" s="72"/>
      <c r="W91" s="304"/>
      <c r="X91" s="305"/>
      <c r="Y91" s="305"/>
      <c r="Z91" s="305"/>
      <c r="AA91" s="305"/>
      <c r="AB91" s="305"/>
      <c r="AC91" s="305"/>
      <c r="AD91" s="305"/>
      <c r="AE91" s="305"/>
      <c r="AF91" s="305"/>
      <c r="AG91" s="306"/>
    </row>
    <row r="92" spans="3:33" s="51" customFormat="1" ht="18" thickBot="1">
      <c r="C92" s="327"/>
      <c r="D92" s="328"/>
      <c r="E92" s="328"/>
      <c r="F92" s="328"/>
      <c r="G92" s="328"/>
      <c r="H92" s="328"/>
      <c r="I92" s="328"/>
      <c r="J92" s="329"/>
      <c r="K92" s="330"/>
      <c r="L92" s="331"/>
      <c r="M92" s="332"/>
      <c r="N92" s="333"/>
      <c r="O92" s="331"/>
      <c r="P92" s="331"/>
      <c r="Q92" s="331"/>
      <c r="R92" s="335">
        <f t="shared" si="1"/>
        <v>0</v>
      </c>
      <c r="S92" s="337">
        <f t="shared" si="2"/>
        <v>0</v>
      </c>
      <c r="T92" s="50"/>
      <c r="U92" s="74"/>
      <c r="V92" s="72"/>
      <c r="W92" s="304"/>
      <c r="X92" s="305"/>
      <c r="Y92" s="305"/>
      <c r="Z92" s="305"/>
      <c r="AA92" s="305"/>
      <c r="AB92" s="305"/>
      <c r="AC92" s="305"/>
      <c r="AD92" s="305"/>
      <c r="AE92" s="305"/>
      <c r="AF92" s="305"/>
      <c r="AG92" s="306"/>
    </row>
    <row r="93" spans="3:33" s="51" customFormat="1" ht="18" thickBot="1">
      <c r="C93" s="327"/>
      <c r="D93" s="328"/>
      <c r="E93" s="328"/>
      <c r="F93" s="328"/>
      <c r="G93" s="328"/>
      <c r="H93" s="328"/>
      <c r="I93" s="328"/>
      <c r="J93" s="329"/>
      <c r="K93" s="330"/>
      <c r="L93" s="331"/>
      <c r="M93" s="332"/>
      <c r="N93" s="333"/>
      <c r="O93" s="331"/>
      <c r="P93" s="331"/>
      <c r="Q93" s="331"/>
      <c r="R93" s="335">
        <f t="shared" si="1"/>
        <v>0</v>
      </c>
      <c r="S93" s="337">
        <f t="shared" si="2"/>
        <v>0</v>
      </c>
      <c r="T93" s="50"/>
      <c r="U93" s="74"/>
      <c r="V93" s="72"/>
      <c r="W93" s="304"/>
      <c r="X93" s="305"/>
      <c r="Y93" s="305"/>
      <c r="Z93" s="305"/>
      <c r="AA93" s="305"/>
      <c r="AB93" s="305"/>
      <c r="AC93" s="305"/>
      <c r="AD93" s="305"/>
      <c r="AE93" s="305"/>
      <c r="AF93" s="305"/>
      <c r="AG93" s="306"/>
    </row>
    <row r="94" spans="3:33" s="51" customFormat="1" ht="18" thickBot="1">
      <c r="C94" s="327"/>
      <c r="D94" s="328"/>
      <c r="E94" s="328"/>
      <c r="F94" s="328"/>
      <c r="G94" s="328"/>
      <c r="H94" s="328"/>
      <c r="I94" s="328"/>
      <c r="J94" s="329"/>
      <c r="K94" s="330"/>
      <c r="L94" s="331"/>
      <c r="M94" s="332"/>
      <c r="N94" s="333"/>
      <c r="O94" s="331"/>
      <c r="P94" s="331"/>
      <c r="Q94" s="331"/>
      <c r="R94" s="335">
        <f t="shared" si="1"/>
        <v>0</v>
      </c>
      <c r="S94" s="337">
        <f t="shared" si="2"/>
        <v>0</v>
      </c>
      <c r="T94" s="50"/>
      <c r="U94" s="74"/>
      <c r="V94" s="72"/>
      <c r="W94" s="304"/>
      <c r="X94" s="305"/>
      <c r="Y94" s="305"/>
      <c r="Z94" s="305"/>
      <c r="AA94" s="305"/>
      <c r="AB94" s="305"/>
      <c r="AC94" s="305"/>
      <c r="AD94" s="305"/>
      <c r="AE94" s="305"/>
      <c r="AF94" s="305"/>
      <c r="AG94" s="306"/>
    </row>
    <row r="95" spans="3:33" s="51" customFormat="1" ht="18" thickBot="1">
      <c r="C95" s="327"/>
      <c r="D95" s="328"/>
      <c r="E95" s="328"/>
      <c r="F95" s="328"/>
      <c r="G95" s="328"/>
      <c r="H95" s="328"/>
      <c r="I95" s="328"/>
      <c r="J95" s="329"/>
      <c r="K95" s="330"/>
      <c r="L95" s="331"/>
      <c r="M95" s="332"/>
      <c r="N95" s="333"/>
      <c r="O95" s="331"/>
      <c r="P95" s="331"/>
      <c r="Q95" s="331"/>
      <c r="R95" s="335">
        <f t="shared" si="1"/>
        <v>0</v>
      </c>
      <c r="S95" s="337">
        <f t="shared" si="2"/>
        <v>0</v>
      </c>
      <c r="T95" s="50"/>
      <c r="U95" s="74"/>
      <c r="V95" s="72"/>
      <c r="W95" s="304"/>
      <c r="X95" s="305"/>
      <c r="Y95" s="305"/>
      <c r="Z95" s="305"/>
      <c r="AA95" s="305"/>
      <c r="AB95" s="305"/>
      <c r="AC95" s="305"/>
      <c r="AD95" s="305"/>
      <c r="AE95" s="305"/>
      <c r="AF95" s="305"/>
      <c r="AG95" s="306"/>
    </row>
    <row r="96" spans="3:33" s="51" customFormat="1" ht="18" thickBot="1">
      <c r="C96" s="327"/>
      <c r="D96" s="328"/>
      <c r="E96" s="328"/>
      <c r="F96" s="328"/>
      <c r="G96" s="328"/>
      <c r="H96" s="328"/>
      <c r="I96" s="328"/>
      <c r="J96" s="329"/>
      <c r="K96" s="330"/>
      <c r="L96" s="331"/>
      <c r="M96" s="332"/>
      <c r="N96" s="333"/>
      <c r="O96" s="331"/>
      <c r="P96" s="331"/>
      <c r="Q96" s="331"/>
      <c r="R96" s="335">
        <f t="shared" si="1"/>
        <v>0</v>
      </c>
      <c r="S96" s="337">
        <f t="shared" si="2"/>
        <v>0</v>
      </c>
      <c r="T96" s="50"/>
      <c r="U96" s="74"/>
      <c r="V96" s="72"/>
      <c r="W96" s="304"/>
      <c r="X96" s="305"/>
      <c r="Y96" s="305"/>
      <c r="Z96" s="305"/>
      <c r="AA96" s="305"/>
      <c r="AB96" s="305"/>
      <c r="AC96" s="305"/>
      <c r="AD96" s="305"/>
      <c r="AE96" s="305"/>
      <c r="AF96" s="305"/>
      <c r="AG96" s="306"/>
    </row>
    <row r="97" spans="3:33" s="51" customFormat="1" ht="18" thickBot="1">
      <c r="C97" s="327"/>
      <c r="D97" s="328"/>
      <c r="E97" s="328"/>
      <c r="F97" s="328"/>
      <c r="G97" s="328"/>
      <c r="H97" s="328"/>
      <c r="I97" s="328"/>
      <c r="J97" s="329"/>
      <c r="K97" s="330"/>
      <c r="L97" s="331"/>
      <c r="M97" s="332"/>
      <c r="N97" s="333"/>
      <c r="O97" s="331"/>
      <c r="P97" s="331"/>
      <c r="Q97" s="331"/>
      <c r="R97" s="335">
        <f t="shared" si="1"/>
        <v>0</v>
      </c>
      <c r="S97" s="337">
        <f t="shared" si="2"/>
        <v>0</v>
      </c>
      <c r="T97" s="50"/>
      <c r="U97" s="74"/>
      <c r="V97" s="72"/>
      <c r="W97" s="304"/>
      <c r="X97" s="305"/>
      <c r="Y97" s="305"/>
      <c r="Z97" s="305"/>
      <c r="AA97" s="305"/>
      <c r="AB97" s="305"/>
      <c r="AC97" s="305"/>
      <c r="AD97" s="305"/>
      <c r="AE97" s="305"/>
      <c r="AF97" s="305"/>
      <c r="AG97" s="306"/>
    </row>
    <row r="98" spans="3:33" s="51" customFormat="1" ht="18" thickBot="1">
      <c r="C98" s="327"/>
      <c r="D98" s="328"/>
      <c r="E98" s="328"/>
      <c r="F98" s="328"/>
      <c r="G98" s="328"/>
      <c r="H98" s="328"/>
      <c r="I98" s="328"/>
      <c r="J98" s="329"/>
      <c r="K98" s="330"/>
      <c r="L98" s="331"/>
      <c r="M98" s="332"/>
      <c r="N98" s="333"/>
      <c r="O98" s="331"/>
      <c r="P98" s="331"/>
      <c r="Q98" s="331"/>
      <c r="R98" s="335">
        <f t="shared" si="1"/>
        <v>0</v>
      </c>
      <c r="S98" s="337">
        <f t="shared" si="2"/>
        <v>0</v>
      </c>
      <c r="T98" s="50"/>
      <c r="U98" s="74"/>
      <c r="V98" s="72"/>
      <c r="W98" s="304"/>
      <c r="X98" s="305"/>
      <c r="Y98" s="305"/>
      <c r="Z98" s="305"/>
      <c r="AA98" s="305"/>
      <c r="AB98" s="305"/>
      <c r="AC98" s="305"/>
      <c r="AD98" s="305"/>
      <c r="AE98" s="305"/>
      <c r="AF98" s="305"/>
      <c r="AG98" s="306"/>
    </row>
    <row r="99" spans="3:33" s="51" customFormat="1" ht="18" thickBot="1">
      <c r="C99" s="327"/>
      <c r="D99" s="328"/>
      <c r="E99" s="328"/>
      <c r="F99" s="328"/>
      <c r="G99" s="328"/>
      <c r="H99" s="328"/>
      <c r="I99" s="328"/>
      <c r="J99" s="329"/>
      <c r="K99" s="330"/>
      <c r="L99" s="331"/>
      <c r="M99" s="332"/>
      <c r="N99" s="333"/>
      <c r="O99" s="331"/>
      <c r="P99" s="331"/>
      <c r="Q99" s="331"/>
      <c r="R99" s="335">
        <f t="shared" si="1"/>
        <v>0</v>
      </c>
      <c r="S99" s="337">
        <f t="shared" si="2"/>
        <v>0</v>
      </c>
      <c r="T99" s="50"/>
      <c r="U99" s="74"/>
      <c r="V99" s="72"/>
      <c r="W99" s="304"/>
      <c r="X99" s="305"/>
      <c r="Y99" s="305"/>
      <c r="Z99" s="305"/>
      <c r="AA99" s="305"/>
      <c r="AB99" s="305"/>
      <c r="AC99" s="305"/>
      <c r="AD99" s="305"/>
      <c r="AE99" s="305"/>
      <c r="AF99" s="305"/>
      <c r="AG99" s="306"/>
    </row>
    <row r="100" spans="3:33" s="51" customFormat="1" ht="18" thickBot="1">
      <c r="C100" s="327"/>
      <c r="D100" s="328"/>
      <c r="E100" s="328"/>
      <c r="F100" s="328"/>
      <c r="G100" s="328"/>
      <c r="H100" s="328"/>
      <c r="I100" s="328"/>
      <c r="J100" s="329"/>
      <c r="K100" s="330"/>
      <c r="L100" s="331"/>
      <c r="M100" s="332"/>
      <c r="N100" s="333"/>
      <c r="O100" s="331"/>
      <c r="P100" s="331"/>
      <c r="Q100" s="331"/>
      <c r="R100" s="335">
        <f t="shared" si="1"/>
        <v>0</v>
      </c>
      <c r="S100" s="337">
        <f t="shared" si="2"/>
        <v>0</v>
      </c>
      <c r="T100" s="50"/>
      <c r="U100" s="74"/>
      <c r="V100" s="72"/>
      <c r="W100" s="304"/>
      <c r="X100" s="305"/>
      <c r="Y100" s="305"/>
      <c r="Z100" s="305"/>
      <c r="AA100" s="305"/>
      <c r="AB100" s="305"/>
      <c r="AC100" s="305"/>
      <c r="AD100" s="305"/>
      <c r="AE100" s="305"/>
      <c r="AF100" s="305"/>
      <c r="AG100" s="306"/>
    </row>
    <row r="101" spans="3:33" s="51" customFormat="1" ht="18" thickBot="1">
      <c r="C101" s="327"/>
      <c r="D101" s="328"/>
      <c r="E101" s="328"/>
      <c r="F101" s="328"/>
      <c r="G101" s="328"/>
      <c r="H101" s="328"/>
      <c r="I101" s="328"/>
      <c r="J101" s="329"/>
      <c r="K101" s="330"/>
      <c r="L101" s="331"/>
      <c r="M101" s="332"/>
      <c r="N101" s="333"/>
      <c r="O101" s="331"/>
      <c r="P101" s="331"/>
      <c r="Q101" s="331"/>
      <c r="R101" s="335">
        <f t="shared" si="1"/>
        <v>0</v>
      </c>
      <c r="S101" s="337">
        <f t="shared" si="2"/>
        <v>0</v>
      </c>
      <c r="T101" s="50"/>
      <c r="U101" s="74"/>
      <c r="V101" s="72"/>
      <c r="W101" s="304"/>
      <c r="X101" s="305"/>
      <c r="Y101" s="305"/>
      <c r="Z101" s="305"/>
      <c r="AA101" s="305"/>
      <c r="AB101" s="305"/>
      <c r="AC101" s="305"/>
      <c r="AD101" s="305"/>
      <c r="AE101" s="305"/>
      <c r="AF101" s="305"/>
      <c r="AG101" s="306"/>
    </row>
    <row r="102" spans="3:33" s="51" customFormat="1" ht="18" thickBot="1">
      <c r="C102" s="327"/>
      <c r="D102" s="328"/>
      <c r="E102" s="328"/>
      <c r="F102" s="328"/>
      <c r="G102" s="328"/>
      <c r="H102" s="328"/>
      <c r="I102" s="328"/>
      <c r="J102" s="329"/>
      <c r="K102" s="330"/>
      <c r="L102" s="331"/>
      <c r="M102" s="332"/>
      <c r="N102" s="333"/>
      <c r="O102" s="331"/>
      <c r="P102" s="331"/>
      <c r="Q102" s="331"/>
      <c r="R102" s="335">
        <f t="shared" si="1"/>
        <v>0</v>
      </c>
      <c r="S102" s="337">
        <f t="shared" si="2"/>
        <v>0</v>
      </c>
      <c r="T102" s="50"/>
      <c r="U102" s="74"/>
      <c r="V102" s="72"/>
      <c r="W102" s="304"/>
      <c r="X102" s="305"/>
      <c r="Y102" s="305"/>
      <c r="Z102" s="305"/>
      <c r="AA102" s="305"/>
      <c r="AB102" s="305"/>
      <c r="AC102" s="305"/>
      <c r="AD102" s="305"/>
      <c r="AE102" s="305"/>
      <c r="AF102" s="305"/>
      <c r="AG102" s="306"/>
    </row>
    <row r="103" spans="3:33" s="51" customFormat="1" ht="18" thickBot="1">
      <c r="C103" s="327"/>
      <c r="D103" s="328"/>
      <c r="E103" s="328"/>
      <c r="F103" s="328"/>
      <c r="G103" s="328"/>
      <c r="H103" s="328"/>
      <c r="I103" s="328"/>
      <c r="J103" s="329"/>
      <c r="K103" s="330"/>
      <c r="L103" s="331"/>
      <c r="M103" s="332"/>
      <c r="N103" s="333"/>
      <c r="O103" s="331"/>
      <c r="P103" s="331"/>
      <c r="Q103" s="331"/>
      <c r="R103" s="335">
        <f t="shared" si="1"/>
        <v>0</v>
      </c>
      <c r="S103" s="337">
        <f t="shared" si="2"/>
        <v>0</v>
      </c>
      <c r="T103" s="50"/>
      <c r="U103" s="74"/>
      <c r="V103" s="72"/>
      <c r="W103" s="304"/>
      <c r="X103" s="305"/>
      <c r="Y103" s="305"/>
      <c r="Z103" s="305"/>
      <c r="AA103" s="305"/>
      <c r="AB103" s="305"/>
      <c r="AC103" s="305"/>
      <c r="AD103" s="305"/>
      <c r="AE103" s="305"/>
      <c r="AF103" s="305"/>
      <c r="AG103" s="306"/>
    </row>
    <row r="104" spans="3:33" s="51" customFormat="1" ht="18" thickBot="1">
      <c r="C104" s="327"/>
      <c r="D104" s="328"/>
      <c r="E104" s="328"/>
      <c r="F104" s="328"/>
      <c r="G104" s="328"/>
      <c r="H104" s="328"/>
      <c r="I104" s="328"/>
      <c r="J104" s="329"/>
      <c r="K104" s="330"/>
      <c r="L104" s="331"/>
      <c r="M104" s="332"/>
      <c r="N104" s="333"/>
      <c r="O104" s="331"/>
      <c r="P104" s="331"/>
      <c r="Q104" s="331"/>
      <c r="R104" s="335">
        <f t="shared" si="1"/>
        <v>0</v>
      </c>
      <c r="S104" s="337">
        <f t="shared" si="2"/>
        <v>0</v>
      </c>
      <c r="T104" s="50"/>
      <c r="U104" s="74"/>
      <c r="V104" s="72"/>
      <c r="W104" s="304"/>
      <c r="X104" s="305"/>
      <c r="Y104" s="305"/>
      <c r="Z104" s="305"/>
      <c r="AA104" s="305"/>
      <c r="AB104" s="305"/>
      <c r="AC104" s="305"/>
      <c r="AD104" s="305"/>
      <c r="AE104" s="305"/>
      <c r="AF104" s="305"/>
      <c r="AG104" s="306"/>
    </row>
    <row r="105" spans="3:33" s="51" customFormat="1" ht="18" thickBot="1">
      <c r="C105" s="327"/>
      <c r="D105" s="328"/>
      <c r="E105" s="328"/>
      <c r="F105" s="328"/>
      <c r="G105" s="328"/>
      <c r="H105" s="328"/>
      <c r="I105" s="328"/>
      <c r="J105" s="329"/>
      <c r="K105" s="330"/>
      <c r="L105" s="331"/>
      <c r="M105" s="332"/>
      <c r="N105" s="333"/>
      <c r="O105" s="331"/>
      <c r="P105" s="331"/>
      <c r="Q105" s="331"/>
      <c r="R105" s="335">
        <f t="shared" si="1"/>
        <v>0</v>
      </c>
      <c r="S105" s="337">
        <f t="shared" si="2"/>
        <v>0</v>
      </c>
      <c r="T105" s="50"/>
      <c r="U105" s="74"/>
      <c r="V105" s="72"/>
      <c r="W105" s="304"/>
      <c r="X105" s="305"/>
      <c r="Y105" s="305"/>
      <c r="Z105" s="305"/>
      <c r="AA105" s="305"/>
      <c r="AB105" s="305"/>
      <c r="AC105" s="305"/>
      <c r="AD105" s="305"/>
      <c r="AE105" s="305"/>
      <c r="AF105" s="305"/>
      <c r="AG105" s="306"/>
    </row>
    <row r="106" spans="3:33" s="51" customFormat="1" ht="18" thickBot="1">
      <c r="C106" s="327"/>
      <c r="D106" s="328"/>
      <c r="E106" s="328"/>
      <c r="F106" s="328"/>
      <c r="G106" s="328"/>
      <c r="H106" s="328"/>
      <c r="I106" s="328"/>
      <c r="J106" s="329"/>
      <c r="K106" s="330"/>
      <c r="L106" s="331"/>
      <c r="M106" s="332"/>
      <c r="N106" s="333"/>
      <c r="O106" s="331"/>
      <c r="P106" s="331"/>
      <c r="Q106" s="331"/>
      <c r="R106" s="335">
        <f t="shared" si="1"/>
        <v>0</v>
      </c>
      <c r="S106" s="337">
        <f t="shared" si="2"/>
        <v>0</v>
      </c>
      <c r="T106" s="50"/>
      <c r="U106" s="74"/>
      <c r="V106" s="72"/>
      <c r="W106" s="304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6"/>
    </row>
    <row r="107" spans="3:33" s="51" customFormat="1" ht="18" thickBot="1">
      <c r="C107" s="327"/>
      <c r="D107" s="328"/>
      <c r="E107" s="328"/>
      <c r="F107" s="328"/>
      <c r="G107" s="328"/>
      <c r="H107" s="328"/>
      <c r="I107" s="328"/>
      <c r="J107" s="329"/>
      <c r="K107" s="330"/>
      <c r="L107" s="331"/>
      <c r="M107" s="332"/>
      <c r="N107" s="333"/>
      <c r="O107" s="331"/>
      <c r="P107" s="331"/>
      <c r="Q107" s="331"/>
      <c r="R107" s="335">
        <f t="shared" si="1"/>
        <v>0</v>
      </c>
      <c r="S107" s="337">
        <f t="shared" si="2"/>
        <v>0</v>
      </c>
      <c r="T107" s="50"/>
      <c r="U107" s="74"/>
      <c r="V107" s="72"/>
      <c r="W107" s="304"/>
      <c r="X107" s="305"/>
      <c r="Y107" s="305"/>
      <c r="Z107" s="305"/>
      <c r="AA107" s="305"/>
      <c r="AB107" s="305"/>
      <c r="AC107" s="305"/>
      <c r="AD107" s="305"/>
      <c r="AE107" s="305"/>
      <c r="AF107" s="305"/>
      <c r="AG107" s="306"/>
    </row>
    <row r="108" spans="3:33" s="51" customFormat="1" ht="18" thickBot="1">
      <c r="C108" s="327"/>
      <c r="D108" s="328"/>
      <c r="E108" s="328"/>
      <c r="F108" s="328"/>
      <c r="G108" s="328"/>
      <c r="H108" s="328"/>
      <c r="I108" s="328"/>
      <c r="J108" s="329"/>
      <c r="K108" s="330"/>
      <c r="L108" s="331"/>
      <c r="M108" s="332"/>
      <c r="N108" s="333"/>
      <c r="O108" s="331"/>
      <c r="P108" s="331"/>
      <c r="Q108" s="331"/>
      <c r="R108" s="335">
        <f t="shared" si="1"/>
        <v>0</v>
      </c>
      <c r="S108" s="337">
        <f t="shared" si="2"/>
        <v>0</v>
      </c>
      <c r="T108" s="50"/>
      <c r="U108" s="74"/>
      <c r="V108" s="72"/>
      <c r="W108" s="304"/>
      <c r="X108" s="305"/>
      <c r="Y108" s="305"/>
      <c r="Z108" s="305"/>
      <c r="AA108" s="305"/>
      <c r="AB108" s="305"/>
      <c r="AC108" s="305"/>
      <c r="AD108" s="305"/>
      <c r="AE108" s="305"/>
      <c r="AF108" s="305"/>
      <c r="AG108" s="306"/>
    </row>
    <row r="109" spans="3:33" s="51" customFormat="1" ht="18" thickBot="1">
      <c r="C109" s="327"/>
      <c r="D109" s="328"/>
      <c r="E109" s="328"/>
      <c r="F109" s="328"/>
      <c r="G109" s="328"/>
      <c r="H109" s="328"/>
      <c r="I109" s="328"/>
      <c r="J109" s="329"/>
      <c r="K109" s="330"/>
      <c r="L109" s="331"/>
      <c r="M109" s="332"/>
      <c r="N109" s="333"/>
      <c r="O109" s="331"/>
      <c r="P109" s="331"/>
      <c r="Q109" s="331"/>
      <c r="R109" s="335">
        <f t="shared" si="1"/>
        <v>0</v>
      </c>
      <c r="S109" s="337">
        <f t="shared" si="2"/>
        <v>0</v>
      </c>
      <c r="T109" s="50"/>
      <c r="U109" s="74"/>
      <c r="V109" s="72"/>
      <c r="W109" s="304"/>
      <c r="X109" s="305"/>
      <c r="Y109" s="305"/>
      <c r="Z109" s="305"/>
      <c r="AA109" s="305"/>
      <c r="AB109" s="305"/>
      <c r="AC109" s="305"/>
      <c r="AD109" s="305"/>
      <c r="AE109" s="305"/>
      <c r="AF109" s="305"/>
      <c r="AG109" s="306"/>
    </row>
    <row r="110" spans="3:33" s="51" customFormat="1" ht="18" thickBot="1">
      <c r="C110" s="327"/>
      <c r="D110" s="328"/>
      <c r="E110" s="328"/>
      <c r="F110" s="328"/>
      <c r="G110" s="328"/>
      <c r="H110" s="328"/>
      <c r="I110" s="328"/>
      <c r="J110" s="329"/>
      <c r="K110" s="330"/>
      <c r="L110" s="331"/>
      <c r="M110" s="332"/>
      <c r="N110" s="333"/>
      <c r="O110" s="331"/>
      <c r="P110" s="331"/>
      <c r="Q110" s="331"/>
      <c r="R110" s="335">
        <f t="shared" si="1"/>
        <v>0</v>
      </c>
      <c r="S110" s="337">
        <f t="shared" si="2"/>
        <v>0</v>
      </c>
      <c r="T110" s="50"/>
      <c r="U110" s="74"/>
      <c r="V110" s="72"/>
      <c r="W110" s="304"/>
      <c r="X110" s="305"/>
      <c r="Y110" s="305"/>
      <c r="Z110" s="305"/>
      <c r="AA110" s="305"/>
      <c r="AB110" s="305"/>
      <c r="AC110" s="305"/>
      <c r="AD110" s="305"/>
      <c r="AE110" s="305"/>
      <c r="AF110" s="305"/>
      <c r="AG110" s="306"/>
    </row>
    <row r="111" spans="3:33" s="51" customFormat="1" ht="18" thickBot="1">
      <c r="C111" s="327"/>
      <c r="D111" s="328"/>
      <c r="E111" s="328"/>
      <c r="F111" s="328"/>
      <c r="G111" s="328"/>
      <c r="H111" s="328"/>
      <c r="I111" s="328"/>
      <c r="J111" s="329"/>
      <c r="K111" s="330"/>
      <c r="L111" s="331"/>
      <c r="M111" s="332"/>
      <c r="N111" s="333"/>
      <c r="O111" s="331"/>
      <c r="P111" s="331"/>
      <c r="Q111" s="331"/>
      <c r="R111" s="335">
        <f t="shared" si="1"/>
        <v>0</v>
      </c>
      <c r="S111" s="337">
        <f t="shared" si="2"/>
        <v>0</v>
      </c>
      <c r="T111" s="50"/>
      <c r="U111" s="74"/>
      <c r="V111" s="72"/>
      <c r="W111" s="304"/>
      <c r="X111" s="305"/>
      <c r="Y111" s="305"/>
      <c r="Z111" s="305"/>
      <c r="AA111" s="305"/>
      <c r="AB111" s="305"/>
      <c r="AC111" s="305"/>
      <c r="AD111" s="305"/>
      <c r="AE111" s="305"/>
      <c r="AF111" s="305"/>
      <c r="AG111" s="306"/>
    </row>
    <row r="112" spans="3:33" s="51" customFormat="1" ht="18" thickBot="1">
      <c r="C112" s="327"/>
      <c r="D112" s="328"/>
      <c r="E112" s="328"/>
      <c r="F112" s="328"/>
      <c r="G112" s="328"/>
      <c r="H112" s="328"/>
      <c r="I112" s="328"/>
      <c r="J112" s="329"/>
      <c r="K112" s="330"/>
      <c r="L112" s="331"/>
      <c r="M112" s="332"/>
      <c r="N112" s="333"/>
      <c r="O112" s="331"/>
      <c r="P112" s="331"/>
      <c r="Q112" s="331"/>
      <c r="R112" s="335">
        <f t="shared" si="1"/>
        <v>0</v>
      </c>
      <c r="S112" s="337">
        <f t="shared" si="2"/>
        <v>0</v>
      </c>
      <c r="T112" s="50"/>
      <c r="U112" s="74"/>
      <c r="V112" s="72"/>
      <c r="W112" s="304"/>
      <c r="X112" s="305"/>
      <c r="Y112" s="305"/>
      <c r="Z112" s="305"/>
      <c r="AA112" s="305"/>
      <c r="AB112" s="305"/>
      <c r="AC112" s="305"/>
      <c r="AD112" s="305"/>
      <c r="AE112" s="305"/>
      <c r="AF112" s="305"/>
      <c r="AG112" s="306"/>
    </row>
    <row r="113" spans="3:33" s="51" customFormat="1" ht="18" thickBot="1">
      <c r="C113" s="327"/>
      <c r="D113" s="328"/>
      <c r="E113" s="328"/>
      <c r="F113" s="328"/>
      <c r="G113" s="328"/>
      <c r="H113" s="328"/>
      <c r="I113" s="328"/>
      <c r="J113" s="329"/>
      <c r="K113" s="330"/>
      <c r="L113" s="331"/>
      <c r="M113" s="332"/>
      <c r="N113" s="333"/>
      <c r="O113" s="331"/>
      <c r="P113" s="331"/>
      <c r="Q113" s="331"/>
      <c r="R113" s="335">
        <f t="shared" si="1"/>
        <v>0</v>
      </c>
      <c r="S113" s="337">
        <f t="shared" si="2"/>
        <v>0</v>
      </c>
      <c r="T113" s="50"/>
      <c r="U113" s="74"/>
      <c r="V113" s="72"/>
      <c r="W113" s="304"/>
      <c r="X113" s="305"/>
      <c r="Y113" s="305"/>
      <c r="Z113" s="305"/>
      <c r="AA113" s="305"/>
      <c r="AB113" s="305"/>
      <c r="AC113" s="305"/>
      <c r="AD113" s="305"/>
      <c r="AE113" s="305"/>
      <c r="AF113" s="305"/>
      <c r="AG113" s="306"/>
    </row>
    <row r="114" spans="3:33" s="51" customFormat="1" ht="18" thickBot="1">
      <c r="C114" s="327"/>
      <c r="D114" s="328"/>
      <c r="E114" s="328"/>
      <c r="F114" s="328"/>
      <c r="G114" s="328"/>
      <c r="H114" s="328"/>
      <c r="I114" s="328"/>
      <c r="J114" s="329"/>
      <c r="K114" s="330"/>
      <c r="L114" s="331"/>
      <c r="M114" s="332"/>
      <c r="N114" s="333"/>
      <c r="O114" s="331"/>
      <c r="P114" s="331"/>
      <c r="Q114" s="331"/>
      <c r="R114" s="335">
        <f t="shared" si="1"/>
        <v>0</v>
      </c>
      <c r="S114" s="337">
        <f t="shared" si="2"/>
        <v>0</v>
      </c>
      <c r="T114" s="50"/>
      <c r="U114" s="74"/>
      <c r="V114" s="72"/>
      <c r="W114" s="304"/>
      <c r="X114" s="305"/>
      <c r="Y114" s="305"/>
      <c r="Z114" s="305"/>
      <c r="AA114" s="305"/>
      <c r="AB114" s="305"/>
      <c r="AC114" s="305"/>
      <c r="AD114" s="305"/>
      <c r="AE114" s="305"/>
      <c r="AF114" s="305"/>
      <c r="AG114" s="306"/>
    </row>
    <row r="115" spans="3:33" s="51" customFormat="1" ht="18" thickBot="1">
      <c r="C115" s="327"/>
      <c r="D115" s="328"/>
      <c r="E115" s="328"/>
      <c r="F115" s="328"/>
      <c r="G115" s="328"/>
      <c r="H115" s="328"/>
      <c r="I115" s="328"/>
      <c r="J115" s="329"/>
      <c r="K115" s="330"/>
      <c r="L115" s="331"/>
      <c r="M115" s="332"/>
      <c r="N115" s="333"/>
      <c r="O115" s="331"/>
      <c r="P115" s="331"/>
      <c r="Q115" s="331"/>
      <c r="R115" s="335">
        <f t="shared" si="1"/>
        <v>0</v>
      </c>
      <c r="S115" s="337">
        <f t="shared" si="2"/>
        <v>0</v>
      </c>
      <c r="T115" s="50"/>
      <c r="U115" s="74"/>
      <c r="V115" s="72"/>
      <c r="W115" s="304"/>
      <c r="X115" s="305"/>
      <c r="Y115" s="305"/>
      <c r="Z115" s="305"/>
      <c r="AA115" s="305"/>
      <c r="AB115" s="305"/>
      <c r="AC115" s="305"/>
      <c r="AD115" s="305"/>
      <c r="AE115" s="305"/>
      <c r="AF115" s="305"/>
      <c r="AG115" s="306"/>
    </row>
    <row r="116" spans="3:33" s="51" customFormat="1" ht="18" thickBot="1">
      <c r="C116" s="327"/>
      <c r="D116" s="328"/>
      <c r="E116" s="328"/>
      <c r="F116" s="328"/>
      <c r="G116" s="328"/>
      <c r="H116" s="328"/>
      <c r="I116" s="328"/>
      <c r="J116" s="329"/>
      <c r="K116" s="330"/>
      <c r="L116" s="331"/>
      <c r="M116" s="332"/>
      <c r="N116" s="333"/>
      <c r="O116" s="331"/>
      <c r="P116" s="331"/>
      <c r="Q116" s="331"/>
      <c r="R116" s="335">
        <f t="shared" ref="R116:R179" si="3">N116*(1+O116)*(1+P116)</f>
        <v>0</v>
      </c>
      <c r="S116" s="337">
        <f t="shared" ref="S116:S179" si="4">IF(OR(K116&lt;&gt;0,K116&lt;&gt;""),(K116+L116)*R116,R116*(J116+L116))</f>
        <v>0</v>
      </c>
      <c r="T116" s="50"/>
      <c r="U116" s="74"/>
      <c r="V116" s="72"/>
      <c r="W116" s="304"/>
      <c r="X116" s="305"/>
      <c r="Y116" s="305"/>
      <c r="Z116" s="305"/>
      <c r="AA116" s="305"/>
      <c r="AB116" s="305"/>
      <c r="AC116" s="305"/>
      <c r="AD116" s="305"/>
      <c r="AE116" s="305"/>
      <c r="AF116" s="305"/>
      <c r="AG116" s="306"/>
    </row>
    <row r="117" spans="3:33" s="51" customFormat="1" ht="18" thickBot="1">
      <c r="C117" s="327"/>
      <c r="D117" s="328"/>
      <c r="E117" s="328"/>
      <c r="F117" s="328"/>
      <c r="G117" s="328"/>
      <c r="H117" s="328"/>
      <c r="I117" s="328"/>
      <c r="J117" s="329"/>
      <c r="K117" s="330"/>
      <c r="L117" s="331"/>
      <c r="M117" s="332"/>
      <c r="N117" s="333"/>
      <c r="O117" s="331"/>
      <c r="P117" s="331"/>
      <c r="Q117" s="331"/>
      <c r="R117" s="335">
        <f t="shared" si="3"/>
        <v>0</v>
      </c>
      <c r="S117" s="337">
        <f t="shared" si="4"/>
        <v>0</v>
      </c>
      <c r="T117" s="50"/>
      <c r="U117" s="74"/>
      <c r="V117" s="72"/>
      <c r="W117" s="304"/>
      <c r="X117" s="305"/>
      <c r="Y117" s="305"/>
      <c r="Z117" s="305"/>
      <c r="AA117" s="305"/>
      <c r="AB117" s="305"/>
      <c r="AC117" s="305"/>
      <c r="AD117" s="305"/>
      <c r="AE117" s="305"/>
      <c r="AF117" s="305"/>
      <c r="AG117" s="306"/>
    </row>
    <row r="118" spans="3:33" s="51" customFormat="1" ht="18" thickBot="1">
      <c r="C118" s="327"/>
      <c r="D118" s="328"/>
      <c r="E118" s="328"/>
      <c r="F118" s="328"/>
      <c r="G118" s="328"/>
      <c r="H118" s="328"/>
      <c r="I118" s="328"/>
      <c r="J118" s="329"/>
      <c r="K118" s="330"/>
      <c r="L118" s="331"/>
      <c r="M118" s="332"/>
      <c r="N118" s="333"/>
      <c r="O118" s="331"/>
      <c r="P118" s="331"/>
      <c r="Q118" s="331"/>
      <c r="R118" s="335">
        <f t="shared" si="3"/>
        <v>0</v>
      </c>
      <c r="S118" s="337">
        <f t="shared" si="4"/>
        <v>0</v>
      </c>
      <c r="T118" s="50"/>
      <c r="U118" s="74"/>
      <c r="V118" s="72"/>
      <c r="W118" s="304"/>
      <c r="X118" s="305"/>
      <c r="Y118" s="305"/>
      <c r="Z118" s="305"/>
      <c r="AA118" s="305"/>
      <c r="AB118" s="305"/>
      <c r="AC118" s="305"/>
      <c r="AD118" s="305"/>
      <c r="AE118" s="305"/>
      <c r="AF118" s="305"/>
      <c r="AG118" s="306"/>
    </row>
    <row r="119" spans="3:33" s="51" customFormat="1" ht="18" thickBot="1">
      <c r="C119" s="327"/>
      <c r="D119" s="328"/>
      <c r="E119" s="328"/>
      <c r="F119" s="328"/>
      <c r="G119" s="328"/>
      <c r="H119" s="328"/>
      <c r="I119" s="328"/>
      <c r="J119" s="329"/>
      <c r="K119" s="330"/>
      <c r="L119" s="331"/>
      <c r="M119" s="332"/>
      <c r="N119" s="333"/>
      <c r="O119" s="331"/>
      <c r="P119" s="331"/>
      <c r="Q119" s="331"/>
      <c r="R119" s="335">
        <f t="shared" si="3"/>
        <v>0</v>
      </c>
      <c r="S119" s="337">
        <f t="shared" si="4"/>
        <v>0</v>
      </c>
      <c r="T119" s="50"/>
      <c r="U119" s="74"/>
      <c r="V119" s="72"/>
      <c r="W119" s="304"/>
      <c r="X119" s="305"/>
      <c r="Y119" s="305"/>
      <c r="Z119" s="305"/>
      <c r="AA119" s="305"/>
      <c r="AB119" s="305"/>
      <c r="AC119" s="305"/>
      <c r="AD119" s="305"/>
      <c r="AE119" s="305"/>
      <c r="AF119" s="305"/>
      <c r="AG119" s="306"/>
    </row>
    <row r="120" spans="3:33" s="51" customFormat="1" ht="18" thickBot="1">
      <c r="C120" s="327"/>
      <c r="D120" s="328"/>
      <c r="E120" s="328"/>
      <c r="F120" s="328"/>
      <c r="G120" s="328"/>
      <c r="H120" s="328"/>
      <c r="I120" s="328"/>
      <c r="J120" s="329"/>
      <c r="K120" s="330"/>
      <c r="L120" s="331"/>
      <c r="M120" s="332"/>
      <c r="N120" s="333"/>
      <c r="O120" s="331"/>
      <c r="P120" s="331"/>
      <c r="Q120" s="331"/>
      <c r="R120" s="335">
        <f t="shared" si="3"/>
        <v>0</v>
      </c>
      <c r="S120" s="337">
        <f t="shared" si="4"/>
        <v>0</v>
      </c>
      <c r="T120" s="50"/>
      <c r="U120" s="74"/>
      <c r="V120" s="72"/>
      <c r="W120" s="304"/>
      <c r="X120" s="305"/>
      <c r="Y120" s="305"/>
      <c r="Z120" s="305"/>
      <c r="AA120" s="305"/>
      <c r="AB120" s="305"/>
      <c r="AC120" s="305"/>
      <c r="AD120" s="305"/>
      <c r="AE120" s="305"/>
      <c r="AF120" s="305"/>
      <c r="AG120" s="306"/>
    </row>
    <row r="121" spans="3:33" s="51" customFormat="1" ht="18" thickBot="1">
      <c r="C121" s="327"/>
      <c r="D121" s="328"/>
      <c r="E121" s="328"/>
      <c r="F121" s="328"/>
      <c r="G121" s="328"/>
      <c r="H121" s="328"/>
      <c r="I121" s="328"/>
      <c r="J121" s="329"/>
      <c r="K121" s="330"/>
      <c r="L121" s="331"/>
      <c r="M121" s="332"/>
      <c r="N121" s="333"/>
      <c r="O121" s="331"/>
      <c r="P121" s="331"/>
      <c r="Q121" s="331"/>
      <c r="R121" s="335">
        <f t="shared" si="3"/>
        <v>0</v>
      </c>
      <c r="S121" s="337">
        <f t="shared" si="4"/>
        <v>0</v>
      </c>
      <c r="T121" s="50"/>
      <c r="U121" s="74"/>
      <c r="V121" s="72"/>
      <c r="W121" s="304"/>
      <c r="X121" s="305"/>
      <c r="Y121" s="305"/>
      <c r="Z121" s="305"/>
      <c r="AA121" s="305"/>
      <c r="AB121" s="305"/>
      <c r="AC121" s="305"/>
      <c r="AD121" s="305"/>
      <c r="AE121" s="305"/>
      <c r="AF121" s="305"/>
      <c r="AG121" s="306"/>
    </row>
    <row r="122" spans="3:33" s="51" customFormat="1" ht="18" thickBot="1">
      <c r="C122" s="327"/>
      <c r="D122" s="328"/>
      <c r="E122" s="328"/>
      <c r="F122" s="328"/>
      <c r="G122" s="328"/>
      <c r="H122" s="328"/>
      <c r="I122" s="328"/>
      <c r="J122" s="329"/>
      <c r="K122" s="330"/>
      <c r="L122" s="331"/>
      <c r="M122" s="332"/>
      <c r="N122" s="333"/>
      <c r="O122" s="331"/>
      <c r="P122" s="331"/>
      <c r="Q122" s="331"/>
      <c r="R122" s="335">
        <f t="shared" si="3"/>
        <v>0</v>
      </c>
      <c r="S122" s="337">
        <f t="shared" si="4"/>
        <v>0</v>
      </c>
      <c r="T122" s="50"/>
      <c r="U122" s="74"/>
      <c r="V122" s="72"/>
      <c r="W122" s="304"/>
      <c r="X122" s="305"/>
      <c r="Y122" s="305"/>
      <c r="Z122" s="305"/>
      <c r="AA122" s="305"/>
      <c r="AB122" s="305"/>
      <c r="AC122" s="305"/>
      <c r="AD122" s="305"/>
      <c r="AE122" s="305"/>
      <c r="AF122" s="305"/>
      <c r="AG122" s="306"/>
    </row>
    <row r="123" spans="3:33" s="51" customFormat="1" ht="18" thickBot="1">
      <c r="C123" s="327"/>
      <c r="D123" s="328"/>
      <c r="E123" s="328"/>
      <c r="F123" s="328"/>
      <c r="G123" s="328"/>
      <c r="H123" s="328"/>
      <c r="I123" s="328"/>
      <c r="J123" s="329"/>
      <c r="K123" s="330"/>
      <c r="L123" s="331"/>
      <c r="M123" s="332"/>
      <c r="N123" s="333"/>
      <c r="O123" s="331"/>
      <c r="P123" s="331"/>
      <c r="Q123" s="331"/>
      <c r="R123" s="335">
        <f t="shared" si="3"/>
        <v>0</v>
      </c>
      <c r="S123" s="337">
        <f t="shared" si="4"/>
        <v>0</v>
      </c>
      <c r="T123" s="50"/>
      <c r="U123" s="74"/>
      <c r="V123" s="72"/>
      <c r="W123" s="304"/>
      <c r="X123" s="305"/>
      <c r="Y123" s="305"/>
      <c r="Z123" s="305"/>
      <c r="AA123" s="305"/>
      <c r="AB123" s="305"/>
      <c r="AC123" s="305"/>
      <c r="AD123" s="305"/>
      <c r="AE123" s="305"/>
      <c r="AF123" s="305"/>
      <c r="AG123" s="306"/>
    </row>
    <row r="124" spans="3:33" s="51" customFormat="1" ht="18" thickBot="1">
      <c r="C124" s="327"/>
      <c r="D124" s="328"/>
      <c r="E124" s="328"/>
      <c r="F124" s="328"/>
      <c r="G124" s="328"/>
      <c r="H124" s="328"/>
      <c r="I124" s="328"/>
      <c r="J124" s="329"/>
      <c r="K124" s="330"/>
      <c r="L124" s="331"/>
      <c r="M124" s="332"/>
      <c r="N124" s="333"/>
      <c r="O124" s="331"/>
      <c r="P124" s="331"/>
      <c r="Q124" s="331"/>
      <c r="R124" s="335">
        <f t="shared" si="3"/>
        <v>0</v>
      </c>
      <c r="S124" s="337">
        <f t="shared" si="4"/>
        <v>0</v>
      </c>
      <c r="T124" s="50"/>
      <c r="U124" s="74"/>
      <c r="V124" s="72"/>
      <c r="W124" s="304"/>
      <c r="X124" s="305"/>
      <c r="Y124" s="305"/>
      <c r="Z124" s="305"/>
      <c r="AA124" s="305"/>
      <c r="AB124" s="305"/>
      <c r="AC124" s="305"/>
      <c r="AD124" s="305"/>
      <c r="AE124" s="305"/>
      <c r="AF124" s="305"/>
      <c r="AG124" s="306"/>
    </row>
    <row r="125" spans="3:33" s="51" customFormat="1" ht="18" thickBot="1">
      <c r="C125" s="327"/>
      <c r="D125" s="328"/>
      <c r="E125" s="328"/>
      <c r="F125" s="328"/>
      <c r="G125" s="328"/>
      <c r="H125" s="328"/>
      <c r="I125" s="328"/>
      <c r="J125" s="329"/>
      <c r="K125" s="330"/>
      <c r="L125" s="331"/>
      <c r="M125" s="332"/>
      <c r="N125" s="333"/>
      <c r="O125" s="331"/>
      <c r="P125" s="331"/>
      <c r="Q125" s="331"/>
      <c r="R125" s="335">
        <f t="shared" si="3"/>
        <v>0</v>
      </c>
      <c r="S125" s="337">
        <f t="shared" si="4"/>
        <v>0</v>
      </c>
      <c r="T125" s="50"/>
      <c r="U125" s="74"/>
      <c r="V125" s="72"/>
      <c r="W125" s="304"/>
      <c r="X125" s="305"/>
      <c r="Y125" s="305"/>
      <c r="Z125" s="305"/>
      <c r="AA125" s="305"/>
      <c r="AB125" s="305"/>
      <c r="AC125" s="305"/>
      <c r="AD125" s="305"/>
      <c r="AE125" s="305"/>
      <c r="AF125" s="305"/>
      <c r="AG125" s="306"/>
    </row>
    <row r="126" spans="3:33" s="51" customFormat="1" ht="18" thickBot="1">
      <c r="C126" s="327"/>
      <c r="D126" s="328"/>
      <c r="E126" s="328"/>
      <c r="F126" s="328"/>
      <c r="G126" s="328"/>
      <c r="H126" s="328"/>
      <c r="I126" s="328"/>
      <c r="J126" s="329"/>
      <c r="K126" s="330"/>
      <c r="L126" s="331"/>
      <c r="M126" s="332"/>
      <c r="N126" s="333"/>
      <c r="O126" s="331"/>
      <c r="P126" s="331"/>
      <c r="Q126" s="331"/>
      <c r="R126" s="335">
        <f t="shared" si="3"/>
        <v>0</v>
      </c>
      <c r="S126" s="337">
        <f t="shared" si="4"/>
        <v>0</v>
      </c>
      <c r="T126" s="50"/>
      <c r="U126" s="74"/>
      <c r="V126" s="72"/>
      <c r="W126" s="304"/>
      <c r="X126" s="305"/>
      <c r="Y126" s="305"/>
      <c r="Z126" s="305"/>
      <c r="AA126" s="305"/>
      <c r="AB126" s="305"/>
      <c r="AC126" s="305"/>
      <c r="AD126" s="305"/>
      <c r="AE126" s="305"/>
      <c r="AF126" s="305"/>
      <c r="AG126" s="306"/>
    </row>
    <row r="127" spans="3:33" s="51" customFormat="1" ht="18" thickBot="1">
      <c r="C127" s="327"/>
      <c r="D127" s="328"/>
      <c r="E127" s="328"/>
      <c r="F127" s="328"/>
      <c r="G127" s="328"/>
      <c r="H127" s="328"/>
      <c r="I127" s="328"/>
      <c r="J127" s="329"/>
      <c r="K127" s="330"/>
      <c r="L127" s="331"/>
      <c r="M127" s="332"/>
      <c r="N127" s="333"/>
      <c r="O127" s="331"/>
      <c r="P127" s="331"/>
      <c r="Q127" s="331"/>
      <c r="R127" s="335">
        <f t="shared" si="3"/>
        <v>0</v>
      </c>
      <c r="S127" s="337">
        <f t="shared" si="4"/>
        <v>0</v>
      </c>
      <c r="T127" s="50"/>
      <c r="U127" s="74"/>
      <c r="V127" s="72"/>
      <c r="W127" s="304"/>
      <c r="X127" s="305"/>
      <c r="Y127" s="305"/>
      <c r="Z127" s="305"/>
      <c r="AA127" s="305"/>
      <c r="AB127" s="305"/>
      <c r="AC127" s="305"/>
      <c r="AD127" s="305"/>
      <c r="AE127" s="305"/>
      <c r="AF127" s="305"/>
      <c r="AG127" s="306"/>
    </row>
    <row r="128" spans="3:33" s="51" customFormat="1" ht="18" thickBot="1">
      <c r="C128" s="327"/>
      <c r="D128" s="328"/>
      <c r="E128" s="328"/>
      <c r="F128" s="328"/>
      <c r="G128" s="328"/>
      <c r="H128" s="328"/>
      <c r="I128" s="328"/>
      <c r="J128" s="329"/>
      <c r="K128" s="330"/>
      <c r="L128" s="331"/>
      <c r="M128" s="332"/>
      <c r="N128" s="333"/>
      <c r="O128" s="331"/>
      <c r="P128" s="331"/>
      <c r="Q128" s="331"/>
      <c r="R128" s="335">
        <f t="shared" si="3"/>
        <v>0</v>
      </c>
      <c r="S128" s="337">
        <f t="shared" si="4"/>
        <v>0</v>
      </c>
      <c r="T128" s="50"/>
      <c r="U128" s="74"/>
      <c r="V128" s="72"/>
      <c r="W128" s="304"/>
      <c r="X128" s="305"/>
      <c r="Y128" s="305"/>
      <c r="Z128" s="305"/>
      <c r="AA128" s="305"/>
      <c r="AB128" s="305"/>
      <c r="AC128" s="305"/>
      <c r="AD128" s="305"/>
      <c r="AE128" s="305"/>
      <c r="AF128" s="305"/>
      <c r="AG128" s="306"/>
    </row>
    <row r="129" spans="3:33" s="51" customFormat="1" ht="18" thickBot="1">
      <c r="C129" s="327"/>
      <c r="D129" s="328"/>
      <c r="E129" s="328"/>
      <c r="F129" s="328"/>
      <c r="G129" s="328"/>
      <c r="H129" s="328"/>
      <c r="I129" s="328"/>
      <c r="J129" s="329"/>
      <c r="K129" s="330"/>
      <c r="L129" s="331"/>
      <c r="M129" s="332"/>
      <c r="N129" s="333"/>
      <c r="O129" s="331"/>
      <c r="P129" s="331"/>
      <c r="Q129" s="331"/>
      <c r="R129" s="335">
        <f t="shared" si="3"/>
        <v>0</v>
      </c>
      <c r="S129" s="337">
        <f t="shared" si="4"/>
        <v>0</v>
      </c>
      <c r="T129" s="50"/>
      <c r="U129" s="74"/>
      <c r="V129" s="72"/>
      <c r="W129" s="304"/>
      <c r="X129" s="305"/>
      <c r="Y129" s="305"/>
      <c r="Z129" s="305"/>
      <c r="AA129" s="305"/>
      <c r="AB129" s="305"/>
      <c r="AC129" s="305"/>
      <c r="AD129" s="305"/>
      <c r="AE129" s="305"/>
      <c r="AF129" s="305"/>
      <c r="AG129" s="306"/>
    </row>
    <row r="130" spans="3:33" s="51" customFormat="1" ht="18" thickBot="1">
      <c r="C130" s="327"/>
      <c r="D130" s="328"/>
      <c r="E130" s="328"/>
      <c r="F130" s="328"/>
      <c r="G130" s="328"/>
      <c r="H130" s="328"/>
      <c r="I130" s="328"/>
      <c r="J130" s="329"/>
      <c r="K130" s="330"/>
      <c r="L130" s="331"/>
      <c r="M130" s="332"/>
      <c r="N130" s="333"/>
      <c r="O130" s="331"/>
      <c r="P130" s="331"/>
      <c r="Q130" s="331"/>
      <c r="R130" s="335">
        <f t="shared" si="3"/>
        <v>0</v>
      </c>
      <c r="S130" s="337">
        <f t="shared" si="4"/>
        <v>0</v>
      </c>
      <c r="T130" s="50"/>
      <c r="U130" s="74"/>
      <c r="V130" s="72"/>
      <c r="W130" s="304"/>
      <c r="X130" s="305"/>
      <c r="Y130" s="305"/>
      <c r="Z130" s="305"/>
      <c r="AA130" s="305"/>
      <c r="AB130" s="305"/>
      <c r="AC130" s="305"/>
      <c r="AD130" s="305"/>
      <c r="AE130" s="305"/>
      <c r="AF130" s="305"/>
      <c r="AG130" s="306"/>
    </row>
    <row r="131" spans="3:33" s="51" customFormat="1" ht="18" thickBot="1">
      <c r="C131" s="327"/>
      <c r="D131" s="328"/>
      <c r="E131" s="328"/>
      <c r="F131" s="328"/>
      <c r="G131" s="328"/>
      <c r="H131" s="328"/>
      <c r="I131" s="328"/>
      <c r="J131" s="329"/>
      <c r="K131" s="330"/>
      <c r="L131" s="331"/>
      <c r="M131" s="332"/>
      <c r="N131" s="333"/>
      <c r="O131" s="331"/>
      <c r="P131" s="331"/>
      <c r="Q131" s="331"/>
      <c r="R131" s="335">
        <f t="shared" si="3"/>
        <v>0</v>
      </c>
      <c r="S131" s="337">
        <f t="shared" si="4"/>
        <v>0</v>
      </c>
      <c r="T131" s="50"/>
      <c r="U131" s="74"/>
      <c r="V131" s="72"/>
      <c r="W131" s="304"/>
      <c r="X131" s="305"/>
      <c r="Y131" s="305"/>
      <c r="Z131" s="305"/>
      <c r="AA131" s="305"/>
      <c r="AB131" s="305"/>
      <c r="AC131" s="305"/>
      <c r="AD131" s="305"/>
      <c r="AE131" s="305"/>
      <c r="AF131" s="305"/>
      <c r="AG131" s="306"/>
    </row>
    <row r="132" spans="3:33" s="51" customFormat="1" ht="18" thickBot="1">
      <c r="C132" s="327"/>
      <c r="D132" s="328"/>
      <c r="E132" s="328"/>
      <c r="F132" s="328"/>
      <c r="G132" s="328"/>
      <c r="H132" s="328"/>
      <c r="I132" s="328"/>
      <c r="J132" s="329"/>
      <c r="K132" s="330"/>
      <c r="L132" s="331"/>
      <c r="M132" s="332"/>
      <c r="N132" s="333"/>
      <c r="O132" s="331"/>
      <c r="P132" s="331"/>
      <c r="Q132" s="331"/>
      <c r="R132" s="335">
        <f t="shared" si="3"/>
        <v>0</v>
      </c>
      <c r="S132" s="337">
        <f t="shared" si="4"/>
        <v>0</v>
      </c>
      <c r="T132" s="50"/>
      <c r="U132" s="74"/>
      <c r="V132" s="72"/>
      <c r="W132" s="304"/>
      <c r="X132" s="305"/>
      <c r="Y132" s="305"/>
      <c r="Z132" s="305"/>
      <c r="AA132" s="305"/>
      <c r="AB132" s="305"/>
      <c r="AC132" s="305"/>
      <c r="AD132" s="305"/>
      <c r="AE132" s="305"/>
      <c r="AF132" s="305"/>
      <c r="AG132" s="306"/>
    </row>
    <row r="133" spans="3:33" s="51" customFormat="1" ht="18" thickBot="1">
      <c r="C133" s="327"/>
      <c r="D133" s="328"/>
      <c r="E133" s="328"/>
      <c r="F133" s="328"/>
      <c r="G133" s="328"/>
      <c r="H133" s="328"/>
      <c r="I133" s="328"/>
      <c r="J133" s="329"/>
      <c r="K133" s="330"/>
      <c r="L133" s="331"/>
      <c r="M133" s="332"/>
      <c r="N133" s="333"/>
      <c r="O133" s="331"/>
      <c r="P133" s="331"/>
      <c r="Q133" s="331"/>
      <c r="R133" s="335">
        <f t="shared" si="3"/>
        <v>0</v>
      </c>
      <c r="S133" s="337">
        <f t="shared" si="4"/>
        <v>0</v>
      </c>
      <c r="T133" s="50"/>
      <c r="U133" s="74"/>
      <c r="V133" s="72"/>
      <c r="W133" s="304"/>
      <c r="X133" s="305"/>
      <c r="Y133" s="305"/>
      <c r="Z133" s="305"/>
      <c r="AA133" s="305"/>
      <c r="AB133" s="305"/>
      <c r="AC133" s="305"/>
      <c r="AD133" s="305"/>
      <c r="AE133" s="305"/>
      <c r="AF133" s="305"/>
      <c r="AG133" s="306"/>
    </row>
    <row r="134" spans="3:33" s="51" customFormat="1" ht="18" thickBot="1">
      <c r="C134" s="327"/>
      <c r="D134" s="328"/>
      <c r="E134" s="328"/>
      <c r="F134" s="328"/>
      <c r="G134" s="328"/>
      <c r="H134" s="328"/>
      <c r="I134" s="328"/>
      <c r="J134" s="329"/>
      <c r="K134" s="330"/>
      <c r="L134" s="331"/>
      <c r="M134" s="332"/>
      <c r="N134" s="333"/>
      <c r="O134" s="331"/>
      <c r="P134" s="331"/>
      <c r="Q134" s="331"/>
      <c r="R134" s="335">
        <f t="shared" si="3"/>
        <v>0</v>
      </c>
      <c r="S134" s="337">
        <f t="shared" si="4"/>
        <v>0</v>
      </c>
      <c r="T134" s="50"/>
      <c r="U134" s="74"/>
      <c r="V134" s="72"/>
      <c r="W134" s="304"/>
      <c r="X134" s="305"/>
      <c r="Y134" s="305"/>
      <c r="Z134" s="305"/>
      <c r="AA134" s="305"/>
      <c r="AB134" s="305"/>
      <c r="AC134" s="305"/>
      <c r="AD134" s="305"/>
      <c r="AE134" s="305"/>
      <c r="AF134" s="305"/>
      <c r="AG134" s="306"/>
    </row>
    <row r="135" spans="3:33" s="51" customFormat="1" ht="18" thickBot="1">
      <c r="C135" s="327"/>
      <c r="D135" s="328"/>
      <c r="E135" s="328"/>
      <c r="F135" s="328"/>
      <c r="G135" s="328"/>
      <c r="H135" s="328"/>
      <c r="I135" s="328"/>
      <c r="J135" s="329"/>
      <c r="K135" s="330"/>
      <c r="L135" s="331"/>
      <c r="M135" s="332"/>
      <c r="N135" s="333"/>
      <c r="O135" s="331"/>
      <c r="P135" s="331"/>
      <c r="Q135" s="331"/>
      <c r="R135" s="335">
        <f t="shared" si="3"/>
        <v>0</v>
      </c>
      <c r="S135" s="337">
        <f t="shared" si="4"/>
        <v>0</v>
      </c>
      <c r="T135" s="50"/>
      <c r="U135" s="74"/>
      <c r="V135" s="72"/>
      <c r="W135" s="304"/>
      <c r="X135" s="305"/>
      <c r="Y135" s="305"/>
      <c r="Z135" s="305"/>
      <c r="AA135" s="305"/>
      <c r="AB135" s="305"/>
      <c r="AC135" s="305"/>
      <c r="AD135" s="305"/>
      <c r="AE135" s="305"/>
      <c r="AF135" s="305"/>
      <c r="AG135" s="306"/>
    </row>
    <row r="136" spans="3:33" s="51" customFormat="1" ht="18" thickBot="1">
      <c r="C136" s="327"/>
      <c r="D136" s="328"/>
      <c r="E136" s="328"/>
      <c r="F136" s="328"/>
      <c r="G136" s="328"/>
      <c r="H136" s="328"/>
      <c r="I136" s="328"/>
      <c r="J136" s="329"/>
      <c r="K136" s="330"/>
      <c r="L136" s="331"/>
      <c r="M136" s="332"/>
      <c r="N136" s="333"/>
      <c r="O136" s="331"/>
      <c r="P136" s="331"/>
      <c r="Q136" s="331"/>
      <c r="R136" s="335">
        <f t="shared" si="3"/>
        <v>0</v>
      </c>
      <c r="S136" s="337">
        <f t="shared" si="4"/>
        <v>0</v>
      </c>
      <c r="T136" s="50"/>
      <c r="U136" s="74"/>
      <c r="V136" s="72"/>
      <c r="W136" s="304"/>
      <c r="X136" s="305"/>
      <c r="Y136" s="305"/>
      <c r="Z136" s="305"/>
      <c r="AA136" s="305"/>
      <c r="AB136" s="305"/>
      <c r="AC136" s="305"/>
      <c r="AD136" s="305"/>
      <c r="AE136" s="305"/>
      <c r="AF136" s="305"/>
      <c r="AG136" s="306"/>
    </row>
    <row r="137" spans="3:33" s="51" customFormat="1" ht="18" thickBot="1">
      <c r="C137" s="327"/>
      <c r="D137" s="328"/>
      <c r="E137" s="328"/>
      <c r="F137" s="328"/>
      <c r="G137" s="328"/>
      <c r="H137" s="328"/>
      <c r="I137" s="328"/>
      <c r="J137" s="329"/>
      <c r="K137" s="330"/>
      <c r="L137" s="331"/>
      <c r="M137" s="332"/>
      <c r="N137" s="333"/>
      <c r="O137" s="331"/>
      <c r="P137" s="331"/>
      <c r="Q137" s="331"/>
      <c r="R137" s="335">
        <f t="shared" si="3"/>
        <v>0</v>
      </c>
      <c r="S137" s="337">
        <f t="shared" si="4"/>
        <v>0</v>
      </c>
      <c r="T137" s="50"/>
      <c r="U137" s="74"/>
      <c r="V137" s="72"/>
      <c r="W137" s="304"/>
      <c r="X137" s="305"/>
      <c r="Y137" s="305"/>
      <c r="Z137" s="305"/>
      <c r="AA137" s="305"/>
      <c r="AB137" s="305"/>
      <c r="AC137" s="305"/>
      <c r="AD137" s="305"/>
      <c r="AE137" s="305"/>
      <c r="AF137" s="305"/>
      <c r="AG137" s="306"/>
    </row>
    <row r="138" spans="3:33" s="51" customFormat="1" ht="18" thickBot="1">
      <c r="C138" s="327"/>
      <c r="D138" s="328"/>
      <c r="E138" s="328"/>
      <c r="F138" s="328"/>
      <c r="G138" s="328"/>
      <c r="H138" s="328"/>
      <c r="I138" s="328"/>
      <c r="J138" s="329"/>
      <c r="K138" s="330"/>
      <c r="L138" s="331"/>
      <c r="M138" s="332"/>
      <c r="N138" s="333"/>
      <c r="O138" s="331"/>
      <c r="P138" s="331"/>
      <c r="Q138" s="331"/>
      <c r="R138" s="335">
        <f t="shared" si="3"/>
        <v>0</v>
      </c>
      <c r="S138" s="337">
        <f t="shared" si="4"/>
        <v>0</v>
      </c>
      <c r="T138" s="50"/>
      <c r="U138" s="74"/>
      <c r="V138" s="72"/>
      <c r="W138" s="304"/>
      <c r="X138" s="305"/>
      <c r="Y138" s="305"/>
      <c r="Z138" s="305"/>
      <c r="AA138" s="305"/>
      <c r="AB138" s="305"/>
      <c r="AC138" s="305"/>
      <c r="AD138" s="305"/>
      <c r="AE138" s="305"/>
      <c r="AF138" s="305"/>
      <c r="AG138" s="306"/>
    </row>
    <row r="139" spans="3:33" s="51" customFormat="1" ht="18" thickBot="1">
      <c r="C139" s="327"/>
      <c r="D139" s="328"/>
      <c r="E139" s="328"/>
      <c r="F139" s="328"/>
      <c r="G139" s="328"/>
      <c r="H139" s="328"/>
      <c r="I139" s="328"/>
      <c r="J139" s="329"/>
      <c r="K139" s="330"/>
      <c r="L139" s="331"/>
      <c r="M139" s="332"/>
      <c r="N139" s="333"/>
      <c r="O139" s="331"/>
      <c r="P139" s="331"/>
      <c r="Q139" s="331"/>
      <c r="R139" s="335">
        <f t="shared" si="3"/>
        <v>0</v>
      </c>
      <c r="S139" s="337">
        <f t="shared" si="4"/>
        <v>0</v>
      </c>
      <c r="T139" s="50"/>
      <c r="U139" s="74"/>
      <c r="V139" s="72"/>
      <c r="W139" s="304"/>
      <c r="X139" s="305"/>
      <c r="Y139" s="305"/>
      <c r="Z139" s="305"/>
      <c r="AA139" s="305"/>
      <c r="AB139" s="305"/>
      <c r="AC139" s="305"/>
      <c r="AD139" s="305"/>
      <c r="AE139" s="305"/>
      <c r="AF139" s="305"/>
      <c r="AG139" s="306"/>
    </row>
    <row r="140" spans="3:33" s="51" customFormat="1" ht="18" thickBot="1">
      <c r="C140" s="327"/>
      <c r="D140" s="328"/>
      <c r="E140" s="328"/>
      <c r="F140" s="328"/>
      <c r="G140" s="328"/>
      <c r="H140" s="328"/>
      <c r="I140" s="328"/>
      <c r="J140" s="329"/>
      <c r="K140" s="330"/>
      <c r="L140" s="331"/>
      <c r="M140" s="332"/>
      <c r="N140" s="333"/>
      <c r="O140" s="331"/>
      <c r="P140" s="331"/>
      <c r="Q140" s="331"/>
      <c r="R140" s="335">
        <f t="shared" si="3"/>
        <v>0</v>
      </c>
      <c r="S140" s="337">
        <f t="shared" si="4"/>
        <v>0</v>
      </c>
      <c r="T140" s="50"/>
      <c r="U140" s="74"/>
      <c r="V140" s="72"/>
      <c r="W140" s="304"/>
      <c r="X140" s="305"/>
      <c r="Y140" s="305"/>
      <c r="Z140" s="305"/>
      <c r="AA140" s="305"/>
      <c r="AB140" s="305"/>
      <c r="AC140" s="305"/>
      <c r="AD140" s="305"/>
      <c r="AE140" s="305"/>
      <c r="AF140" s="305"/>
      <c r="AG140" s="306"/>
    </row>
    <row r="141" spans="3:33" s="51" customFormat="1" ht="18" thickBot="1">
      <c r="C141" s="327"/>
      <c r="D141" s="328"/>
      <c r="E141" s="328"/>
      <c r="F141" s="328"/>
      <c r="G141" s="328"/>
      <c r="H141" s="328"/>
      <c r="I141" s="328"/>
      <c r="J141" s="329"/>
      <c r="K141" s="330"/>
      <c r="L141" s="331"/>
      <c r="M141" s="332"/>
      <c r="N141" s="333"/>
      <c r="O141" s="331"/>
      <c r="P141" s="331"/>
      <c r="Q141" s="331"/>
      <c r="R141" s="335">
        <f t="shared" si="3"/>
        <v>0</v>
      </c>
      <c r="S141" s="337">
        <f t="shared" si="4"/>
        <v>0</v>
      </c>
      <c r="T141" s="50"/>
      <c r="U141" s="74"/>
      <c r="V141" s="72"/>
      <c r="W141" s="304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6"/>
    </row>
    <row r="142" spans="3:33" s="51" customFormat="1" ht="18" thickBot="1">
      <c r="C142" s="327"/>
      <c r="D142" s="328"/>
      <c r="E142" s="328"/>
      <c r="F142" s="328"/>
      <c r="G142" s="328"/>
      <c r="H142" s="328"/>
      <c r="I142" s="328"/>
      <c r="J142" s="329"/>
      <c r="K142" s="330"/>
      <c r="L142" s="331"/>
      <c r="M142" s="332"/>
      <c r="N142" s="333"/>
      <c r="O142" s="331"/>
      <c r="P142" s="331"/>
      <c r="Q142" s="331"/>
      <c r="R142" s="335">
        <f t="shared" si="3"/>
        <v>0</v>
      </c>
      <c r="S142" s="337">
        <f t="shared" si="4"/>
        <v>0</v>
      </c>
      <c r="T142" s="50"/>
      <c r="U142" s="74"/>
      <c r="V142" s="72"/>
      <c r="W142" s="304"/>
      <c r="X142" s="305"/>
      <c r="Y142" s="305"/>
      <c r="Z142" s="305"/>
      <c r="AA142" s="305"/>
      <c r="AB142" s="305"/>
      <c r="AC142" s="305"/>
      <c r="AD142" s="305"/>
      <c r="AE142" s="305"/>
      <c r="AF142" s="305"/>
      <c r="AG142" s="306"/>
    </row>
    <row r="143" spans="3:33" s="51" customFormat="1" ht="18" thickBot="1">
      <c r="C143" s="327"/>
      <c r="D143" s="328"/>
      <c r="E143" s="328"/>
      <c r="F143" s="328"/>
      <c r="G143" s="328"/>
      <c r="H143" s="328"/>
      <c r="I143" s="328"/>
      <c r="J143" s="329"/>
      <c r="K143" s="330"/>
      <c r="L143" s="331"/>
      <c r="M143" s="332"/>
      <c r="N143" s="333"/>
      <c r="O143" s="331"/>
      <c r="P143" s="331"/>
      <c r="Q143" s="331"/>
      <c r="R143" s="335">
        <f t="shared" si="3"/>
        <v>0</v>
      </c>
      <c r="S143" s="337">
        <f t="shared" si="4"/>
        <v>0</v>
      </c>
      <c r="T143" s="50"/>
      <c r="U143" s="74"/>
      <c r="V143" s="72"/>
      <c r="W143" s="304"/>
      <c r="X143" s="305"/>
      <c r="Y143" s="305"/>
      <c r="Z143" s="305"/>
      <c r="AA143" s="305"/>
      <c r="AB143" s="305"/>
      <c r="AC143" s="305"/>
      <c r="AD143" s="305"/>
      <c r="AE143" s="305"/>
      <c r="AF143" s="305"/>
      <c r="AG143" s="306"/>
    </row>
    <row r="144" spans="3:33" s="51" customFormat="1" ht="18" thickBot="1">
      <c r="C144" s="327"/>
      <c r="D144" s="328"/>
      <c r="E144" s="328"/>
      <c r="F144" s="328"/>
      <c r="G144" s="328"/>
      <c r="H144" s="328"/>
      <c r="I144" s="328"/>
      <c r="J144" s="329"/>
      <c r="K144" s="330"/>
      <c r="L144" s="331"/>
      <c r="M144" s="332"/>
      <c r="N144" s="333"/>
      <c r="O144" s="331"/>
      <c r="P144" s="331"/>
      <c r="Q144" s="331"/>
      <c r="R144" s="335">
        <f t="shared" si="3"/>
        <v>0</v>
      </c>
      <c r="S144" s="337">
        <f t="shared" si="4"/>
        <v>0</v>
      </c>
      <c r="T144" s="50"/>
      <c r="U144" s="74"/>
      <c r="V144" s="72"/>
      <c r="W144" s="304"/>
      <c r="X144" s="305"/>
      <c r="Y144" s="305"/>
      <c r="Z144" s="305"/>
      <c r="AA144" s="305"/>
      <c r="AB144" s="305"/>
      <c r="AC144" s="305"/>
      <c r="AD144" s="305"/>
      <c r="AE144" s="305"/>
      <c r="AF144" s="305"/>
      <c r="AG144" s="306"/>
    </row>
    <row r="145" spans="3:33" s="51" customFormat="1" ht="18" thickBot="1">
      <c r="C145" s="327"/>
      <c r="D145" s="328"/>
      <c r="E145" s="328"/>
      <c r="F145" s="328"/>
      <c r="G145" s="328"/>
      <c r="H145" s="328"/>
      <c r="I145" s="328"/>
      <c r="J145" s="329"/>
      <c r="K145" s="330"/>
      <c r="L145" s="331"/>
      <c r="M145" s="332"/>
      <c r="N145" s="333"/>
      <c r="O145" s="331"/>
      <c r="P145" s="331"/>
      <c r="Q145" s="331"/>
      <c r="R145" s="335">
        <f t="shared" si="3"/>
        <v>0</v>
      </c>
      <c r="S145" s="337">
        <f t="shared" si="4"/>
        <v>0</v>
      </c>
      <c r="T145" s="50"/>
      <c r="U145" s="74"/>
      <c r="V145" s="72"/>
      <c r="W145" s="304"/>
      <c r="X145" s="305"/>
      <c r="Y145" s="305"/>
      <c r="Z145" s="305"/>
      <c r="AA145" s="305"/>
      <c r="AB145" s="305"/>
      <c r="AC145" s="305"/>
      <c r="AD145" s="305"/>
      <c r="AE145" s="305"/>
      <c r="AF145" s="305"/>
      <c r="AG145" s="306"/>
    </row>
    <row r="146" spans="3:33" s="51" customFormat="1" ht="18" thickBot="1">
      <c r="C146" s="327"/>
      <c r="D146" s="328"/>
      <c r="E146" s="328"/>
      <c r="F146" s="328"/>
      <c r="G146" s="328"/>
      <c r="H146" s="328"/>
      <c r="I146" s="328"/>
      <c r="J146" s="329"/>
      <c r="K146" s="330"/>
      <c r="L146" s="331"/>
      <c r="M146" s="332"/>
      <c r="N146" s="333"/>
      <c r="O146" s="331"/>
      <c r="P146" s="331"/>
      <c r="Q146" s="331"/>
      <c r="R146" s="335">
        <f t="shared" si="3"/>
        <v>0</v>
      </c>
      <c r="S146" s="337">
        <f t="shared" si="4"/>
        <v>0</v>
      </c>
      <c r="T146" s="50"/>
      <c r="U146" s="74"/>
      <c r="V146" s="72"/>
      <c r="W146" s="304"/>
      <c r="X146" s="305"/>
      <c r="Y146" s="305"/>
      <c r="Z146" s="305"/>
      <c r="AA146" s="305"/>
      <c r="AB146" s="305"/>
      <c r="AC146" s="305"/>
      <c r="AD146" s="305"/>
      <c r="AE146" s="305"/>
      <c r="AF146" s="305"/>
      <c r="AG146" s="306"/>
    </row>
    <row r="147" spans="3:33" s="51" customFormat="1" ht="18" thickBot="1">
      <c r="C147" s="327"/>
      <c r="D147" s="328"/>
      <c r="E147" s="328"/>
      <c r="F147" s="328"/>
      <c r="G147" s="328"/>
      <c r="H147" s="328"/>
      <c r="I147" s="328"/>
      <c r="J147" s="329"/>
      <c r="K147" s="330"/>
      <c r="L147" s="331"/>
      <c r="M147" s="332"/>
      <c r="N147" s="333"/>
      <c r="O147" s="331"/>
      <c r="P147" s="331"/>
      <c r="Q147" s="331"/>
      <c r="R147" s="335">
        <f t="shared" si="3"/>
        <v>0</v>
      </c>
      <c r="S147" s="337">
        <f t="shared" si="4"/>
        <v>0</v>
      </c>
      <c r="T147" s="50"/>
      <c r="U147" s="74"/>
      <c r="V147" s="72"/>
      <c r="W147" s="304"/>
      <c r="X147" s="305"/>
      <c r="Y147" s="305"/>
      <c r="Z147" s="305"/>
      <c r="AA147" s="305"/>
      <c r="AB147" s="305"/>
      <c r="AC147" s="305"/>
      <c r="AD147" s="305"/>
      <c r="AE147" s="305"/>
      <c r="AF147" s="305"/>
      <c r="AG147" s="306"/>
    </row>
    <row r="148" spans="3:33" s="51" customFormat="1" ht="18" thickBot="1">
      <c r="C148" s="327"/>
      <c r="D148" s="328"/>
      <c r="E148" s="328"/>
      <c r="F148" s="328"/>
      <c r="G148" s="328"/>
      <c r="H148" s="328"/>
      <c r="I148" s="328"/>
      <c r="J148" s="329"/>
      <c r="K148" s="330"/>
      <c r="L148" s="331"/>
      <c r="M148" s="332"/>
      <c r="N148" s="333"/>
      <c r="O148" s="331"/>
      <c r="P148" s="331"/>
      <c r="Q148" s="331"/>
      <c r="R148" s="335">
        <f t="shared" si="3"/>
        <v>0</v>
      </c>
      <c r="S148" s="337">
        <f t="shared" si="4"/>
        <v>0</v>
      </c>
      <c r="T148" s="50"/>
      <c r="U148" s="74"/>
      <c r="V148" s="72"/>
      <c r="W148" s="304"/>
      <c r="X148" s="305"/>
      <c r="Y148" s="305"/>
      <c r="Z148" s="305"/>
      <c r="AA148" s="305"/>
      <c r="AB148" s="305"/>
      <c r="AC148" s="305"/>
      <c r="AD148" s="305"/>
      <c r="AE148" s="305"/>
      <c r="AF148" s="305"/>
      <c r="AG148" s="306"/>
    </row>
    <row r="149" spans="3:33" s="51" customFormat="1" ht="18" thickBot="1">
      <c r="C149" s="327"/>
      <c r="D149" s="328"/>
      <c r="E149" s="328"/>
      <c r="F149" s="328"/>
      <c r="G149" s="328"/>
      <c r="H149" s="328"/>
      <c r="I149" s="328"/>
      <c r="J149" s="329"/>
      <c r="K149" s="330"/>
      <c r="L149" s="331"/>
      <c r="M149" s="332"/>
      <c r="N149" s="333"/>
      <c r="O149" s="331"/>
      <c r="P149" s="331"/>
      <c r="Q149" s="331"/>
      <c r="R149" s="335">
        <f t="shared" si="3"/>
        <v>0</v>
      </c>
      <c r="S149" s="337">
        <f t="shared" si="4"/>
        <v>0</v>
      </c>
      <c r="T149" s="50"/>
      <c r="U149" s="74"/>
      <c r="V149" s="72"/>
      <c r="W149" s="304"/>
      <c r="X149" s="305"/>
      <c r="Y149" s="305"/>
      <c r="Z149" s="305"/>
      <c r="AA149" s="305"/>
      <c r="AB149" s="305"/>
      <c r="AC149" s="305"/>
      <c r="AD149" s="305"/>
      <c r="AE149" s="305"/>
      <c r="AF149" s="305"/>
      <c r="AG149" s="306"/>
    </row>
    <row r="150" spans="3:33" s="51" customFormat="1" ht="18" thickBot="1">
      <c r="C150" s="327"/>
      <c r="D150" s="328"/>
      <c r="E150" s="328"/>
      <c r="F150" s="328"/>
      <c r="G150" s="328"/>
      <c r="H150" s="328"/>
      <c r="I150" s="328"/>
      <c r="J150" s="329"/>
      <c r="K150" s="330"/>
      <c r="L150" s="331"/>
      <c r="M150" s="332"/>
      <c r="N150" s="333"/>
      <c r="O150" s="331"/>
      <c r="P150" s="331"/>
      <c r="Q150" s="331"/>
      <c r="R150" s="335">
        <f t="shared" si="3"/>
        <v>0</v>
      </c>
      <c r="S150" s="337">
        <f t="shared" si="4"/>
        <v>0</v>
      </c>
      <c r="T150" s="50"/>
      <c r="U150" s="74"/>
      <c r="V150" s="72"/>
      <c r="W150" s="304"/>
      <c r="X150" s="305"/>
      <c r="Y150" s="305"/>
      <c r="Z150" s="305"/>
      <c r="AA150" s="305"/>
      <c r="AB150" s="305"/>
      <c r="AC150" s="305"/>
      <c r="AD150" s="305"/>
      <c r="AE150" s="305"/>
      <c r="AF150" s="305"/>
      <c r="AG150" s="306"/>
    </row>
    <row r="151" spans="3:33" s="51" customFormat="1" ht="18" thickBot="1">
      <c r="C151" s="327"/>
      <c r="D151" s="328"/>
      <c r="E151" s="328"/>
      <c r="F151" s="328"/>
      <c r="G151" s="328"/>
      <c r="H151" s="328"/>
      <c r="I151" s="328"/>
      <c r="J151" s="329"/>
      <c r="K151" s="330"/>
      <c r="L151" s="331"/>
      <c r="M151" s="332"/>
      <c r="N151" s="333"/>
      <c r="O151" s="331"/>
      <c r="P151" s="331"/>
      <c r="Q151" s="331"/>
      <c r="R151" s="335">
        <f t="shared" si="3"/>
        <v>0</v>
      </c>
      <c r="S151" s="337">
        <f t="shared" si="4"/>
        <v>0</v>
      </c>
      <c r="T151" s="50"/>
      <c r="U151" s="74"/>
      <c r="V151" s="72"/>
      <c r="W151" s="304"/>
      <c r="X151" s="305"/>
      <c r="Y151" s="305"/>
      <c r="Z151" s="305"/>
      <c r="AA151" s="305"/>
      <c r="AB151" s="305"/>
      <c r="AC151" s="305"/>
      <c r="AD151" s="305"/>
      <c r="AE151" s="305"/>
      <c r="AF151" s="305"/>
      <c r="AG151" s="306"/>
    </row>
    <row r="152" spans="3:33" s="51" customFormat="1" ht="18" thickBot="1">
      <c r="C152" s="327"/>
      <c r="D152" s="328"/>
      <c r="E152" s="328"/>
      <c r="F152" s="328"/>
      <c r="G152" s="328"/>
      <c r="H152" s="328"/>
      <c r="I152" s="328"/>
      <c r="J152" s="329"/>
      <c r="K152" s="330"/>
      <c r="L152" s="331"/>
      <c r="M152" s="332"/>
      <c r="N152" s="333"/>
      <c r="O152" s="331"/>
      <c r="P152" s="331"/>
      <c r="Q152" s="331"/>
      <c r="R152" s="335">
        <f t="shared" si="3"/>
        <v>0</v>
      </c>
      <c r="S152" s="337">
        <f t="shared" si="4"/>
        <v>0</v>
      </c>
      <c r="T152" s="50"/>
      <c r="U152" s="74"/>
      <c r="V152" s="72"/>
      <c r="W152" s="304"/>
      <c r="X152" s="305"/>
      <c r="Y152" s="305"/>
      <c r="Z152" s="305"/>
      <c r="AA152" s="305"/>
      <c r="AB152" s="305"/>
      <c r="AC152" s="305"/>
      <c r="AD152" s="305"/>
      <c r="AE152" s="305"/>
      <c r="AF152" s="305"/>
      <c r="AG152" s="306"/>
    </row>
    <row r="153" spans="3:33" s="51" customFormat="1" ht="18" thickBot="1">
      <c r="C153" s="327"/>
      <c r="D153" s="328"/>
      <c r="E153" s="328"/>
      <c r="F153" s="328"/>
      <c r="G153" s="328"/>
      <c r="H153" s="328"/>
      <c r="I153" s="328"/>
      <c r="J153" s="329"/>
      <c r="K153" s="330"/>
      <c r="L153" s="331"/>
      <c r="M153" s="332"/>
      <c r="N153" s="333"/>
      <c r="O153" s="331"/>
      <c r="P153" s="331"/>
      <c r="Q153" s="331"/>
      <c r="R153" s="335">
        <f t="shared" si="3"/>
        <v>0</v>
      </c>
      <c r="S153" s="337">
        <f t="shared" si="4"/>
        <v>0</v>
      </c>
      <c r="T153" s="50"/>
      <c r="U153" s="74"/>
      <c r="V153" s="72"/>
      <c r="W153" s="304"/>
      <c r="X153" s="305"/>
      <c r="Y153" s="305"/>
      <c r="Z153" s="305"/>
      <c r="AA153" s="305"/>
      <c r="AB153" s="305"/>
      <c r="AC153" s="305"/>
      <c r="AD153" s="305"/>
      <c r="AE153" s="305"/>
      <c r="AF153" s="305"/>
      <c r="AG153" s="306"/>
    </row>
    <row r="154" spans="3:33" s="51" customFormat="1" ht="18" thickBot="1">
      <c r="C154" s="327"/>
      <c r="D154" s="328"/>
      <c r="E154" s="328"/>
      <c r="F154" s="328"/>
      <c r="G154" s="328"/>
      <c r="H154" s="328"/>
      <c r="I154" s="328"/>
      <c r="J154" s="329"/>
      <c r="K154" s="330"/>
      <c r="L154" s="331"/>
      <c r="M154" s="332"/>
      <c r="N154" s="333"/>
      <c r="O154" s="331"/>
      <c r="P154" s="331"/>
      <c r="Q154" s="331"/>
      <c r="R154" s="335">
        <f t="shared" si="3"/>
        <v>0</v>
      </c>
      <c r="S154" s="337">
        <f t="shared" si="4"/>
        <v>0</v>
      </c>
      <c r="T154" s="50"/>
      <c r="U154" s="74"/>
      <c r="V154" s="72"/>
      <c r="W154" s="304"/>
      <c r="X154" s="305"/>
      <c r="Y154" s="305"/>
      <c r="Z154" s="305"/>
      <c r="AA154" s="305"/>
      <c r="AB154" s="305"/>
      <c r="AC154" s="305"/>
      <c r="AD154" s="305"/>
      <c r="AE154" s="305"/>
      <c r="AF154" s="305"/>
      <c r="AG154" s="306"/>
    </row>
    <row r="155" spans="3:33" s="51" customFormat="1" ht="18" thickBot="1">
      <c r="C155" s="327"/>
      <c r="D155" s="328"/>
      <c r="E155" s="328"/>
      <c r="F155" s="328"/>
      <c r="G155" s="328"/>
      <c r="H155" s="328"/>
      <c r="I155" s="328"/>
      <c r="J155" s="329"/>
      <c r="K155" s="330"/>
      <c r="L155" s="331"/>
      <c r="M155" s="332"/>
      <c r="N155" s="333"/>
      <c r="O155" s="331"/>
      <c r="P155" s="331"/>
      <c r="Q155" s="331"/>
      <c r="R155" s="335">
        <f t="shared" si="3"/>
        <v>0</v>
      </c>
      <c r="S155" s="337">
        <f t="shared" si="4"/>
        <v>0</v>
      </c>
      <c r="T155" s="50"/>
      <c r="U155" s="74"/>
      <c r="V155" s="72"/>
      <c r="W155" s="304"/>
      <c r="X155" s="305"/>
      <c r="Y155" s="305"/>
      <c r="Z155" s="305"/>
      <c r="AA155" s="305"/>
      <c r="AB155" s="305"/>
      <c r="AC155" s="305"/>
      <c r="AD155" s="305"/>
      <c r="AE155" s="305"/>
      <c r="AF155" s="305"/>
      <c r="AG155" s="306"/>
    </row>
    <row r="156" spans="3:33" s="51" customFormat="1" ht="18" thickBot="1">
      <c r="C156" s="327"/>
      <c r="D156" s="328"/>
      <c r="E156" s="328"/>
      <c r="F156" s="328"/>
      <c r="G156" s="328"/>
      <c r="H156" s="328"/>
      <c r="I156" s="328"/>
      <c r="J156" s="329"/>
      <c r="K156" s="330"/>
      <c r="L156" s="331"/>
      <c r="M156" s="332"/>
      <c r="N156" s="333"/>
      <c r="O156" s="331"/>
      <c r="P156" s="331"/>
      <c r="Q156" s="331"/>
      <c r="R156" s="335">
        <f t="shared" si="3"/>
        <v>0</v>
      </c>
      <c r="S156" s="337">
        <f t="shared" si="4"/>
        <v>0</v>
      </c>
      <c r="T156" s="50"/>
      <c r="U156" s="74"/>
      <c r="V156" s="72"/>
      <c r="W156" s="304"/>
      <c r="X156" s="305"/>
      <c r="Y156" s="305"/>
      <c r="Z156" s="305"/>
      <c r="AA156" s="305"/>
      <c r="AB156" s="305"/>
      <c r="AC156" s="305"/>
      <c r="AD156" s="305"/>
      <c r="AE156" s="305"/>
      <c r="AF156" s="305"/>
      <c r="AG156" s="306"/>
    </row>
    <row r="157" spans="3:33" s="51" customFormat="1" ht="18" thickBot="1">
      <c r="C157" s="327"/>
      <c r="D157" s="328"/>
      <c r="E157" s="328"/>
      <c r="F157" s="328"/>
      <c r="G157" s="328"/>
      <c r="H157" s="328"/>
      <c r="I157" s="328"/>
      <c r="J157" s="329"/>
      <c r="K157" s="330"/>
      <c r="L157" s="331"/>
      <c r="M157" s="332"/>
      <c r="N157" s="333"/>
      <c r="O157" s="331"/>
      <c r="P157" s="331"/>
      <c r="Q157" s="331"/>
      <c r="R157" s="335">
        <f t="shared" si="3"/>
        <v>0</v>
      </c>
      <c r="S157" s="337">
        <f t="shared" si="4"/>
        <v>0</v>
      </c>
      <c r="T157" s="50"/>
      <c r="U157" s="74"/>
      <c r="V157" s="72"/>
      <c r="W157" s="304"/>
      <c r="X157" s="305"/>
      <c r="Y157" s="305"/>
      <c r="Z157" s="305"/>
      <c r="AA157" s="305"/>
      <c r="AB157" s="305"/>
      <c r="AC157" s="305"/>
      <c r="AD157" s="305"/>
      <c r="AE157" s="305"/>
      <c r="AF157" s="305"/>
      <c r="AG157" s="306"/>
    </row>
    <row r="158" spans="3:33" s="51" customFormat="1" ht="18" thickBot="1">
      <c r="C158" s="327"/>
      <c r="D158" s="328"/>
      <c r="E158" s="328"/>
      <c r="F158" s="328"/>
      <c r="G158" s="328"/>
      <c r="H158" s="328"/>
      <c r="I158" s="328"/>
      <c r="J158" s="329"/>
      <c r="K158" s="330"/>
      <c r="L158" s="331"/>
      <c r="M158" s="332"/>
      <c r="N158" s="333"/>
      <c r="O158" s="331"/>
      <c r="P158" s="331"/>
      <c r="Q158" s="331"/>
      <c r="R158" s="335">
        <f t="shared" si="3"/>
        <v>0</v>
      </c>
      <c r="S158" s="337">
        <f t="shared" si="4"/>
        <v>0</v>
      </c>
      <c r="T158" s="50"/>
      <c r="U158" s="74"/>
      <c r="V158" s="72"/>
      <c r="W158" s="304"/>
      <c r="X158" s="305"/>
      <c r="Y158" s="305"/>
      <c r="Z158" s="305"/>
      <c r="AA158" s="305"/>
      <c r="AB158" s="305"/>
      <c r="AC158" s="305"/>
      <c r="AD158" s="305"/>
      <c r="AE158" s="305"/>
      <c r="AF158" s="305"/>
      <c r="AG158" s="306"/>
    </row>
    <row r="159" spans="3:33" s="51" customFormat="1" ht="18" thickBot="1">
      <c r="C159" s="327"/>
      <c r="D159" s="328"/>
      <c r="E159" s="328"/>
      <c r="F159" s="328"/>
      <c r="G159" s="328"/>
      <c r="H159" s="328"/>
      <c r="I159" s="328"/>
      <c r="J159" s="329"/>
      <c r="K159" s="330"/>
      <c r="L159" s="331"/>
      <c r="M159" s="332"/>
      <c r="N159" s="333"/>
      <c r="O159" s="331"/>
      <c r="P159" s="331"/>
      <c r="Q159" s="331"/>
      <c r="R159" s="335">
        <f t="shared" si="3"/>
        <v>0</v>
      </c>
      <c r="S159" s="337">
        <f t="shared" si="4"/>
        <v>0</v>
      </c>
      <c r="T159" s="50"/>
      <c r="U159" s="74"/>
      <c r="V159" s="72"/>
      <c r="W159" s="304"/>
      <c r="X159" s="305"/>
      <c r="Y159" s="305"/>
      <c r="Z159" s="305"/>
      <c r="AA159" s="305"/>
      <c r="AB159" s="305"/>
      <c r="AC159" s="305"/>
      <c r="AD159" s="305"/>
      <c r="AE159" s="305"/>
      <c r="AF159" s="305"/>
      <c r="AG159" s="306"/>
    </row>
    <row r="160" spans="3:33" s="51" customFormat="1" ht="18" thickBot="1">
      <c r="C160" s="327"/>
      <c r="D160" s="328"/>
      <c r="E160" s="328"/>
      <c r="F160" s="328"/>
      <c r="G160" s="328"/>
      <c r="H160" s="328"/>
      <c r="I160" s="328"/>
      <c r="J160" s="329"/>
      <c r="K160" s="330"/>
      <c r="L160" s="331"/>
      <c r="M160" s="332"/>
      <c r="N160" s="333"/>
      <c r="O160" s="331"/>
      <c r="P160" s="331"/>
      <c r="Q160" s="331"/>
      <c r="R160" s="335">
        <f t="shared" si="3"/>
        <v>0</v>
      </c>
      <c r="S160" s="337">
        <f t="shared" si="4"/>
        <v>0</v>
      </c>
      <c r="T160" s="50"/>
      <c r="U160" s="74"/>
      <c r="V160" s="72"/>
      <c r="W160" s="304"/>
      <c r="X160" s="305"/>
      <c r="Y160" s="305"/>
      <c r="Z160" s="305"/>
      <c r="AA160" s="305"/>
      <c r="AB160" s="305"/>
      <c r="AC160" s="305"/>
      <c r="AD160" s="305"/>
      <c r="AE160" s="305"/>
      <c r="AF160" s="305"/>
      <c r="AG160" s="306"/>
    </row>
    <row r="161" spans="3:33" s="51" customFormat="1" ht="18" thickBot="1">
      <c r="C161" s="327"/>
      <c r="D161" s="328"/>
      <c r="E161" s="328"/>
      <c r="F161" s="328"/>
      <c r="G161" s="328"/>
      <c r="H161" s="328"/>
      <c r="I161" s="328"/>
      <c r="J161" s="329"/>
      <c r="K161" s="330"/>
      <c r="L161" s="331"/>
      <c r="M161" s="332"/>
      <c r="N161" s="333"/>
      <c r="O161" s="331"/>
      <c r="P161" s="331"/>
      <c r="Q161" s="331"/>
      <c r="R161" s="335">
        <f t="shared" si="3"/>
        <v>0</v>
      </c>
      <c r="S161" s="337">
        <f t="shared" si="4"/>
        <v>0</v>
      </c>
      <c r="T161" s="50"/>
      <c r="U161" s="74"/>
      <c r="V161" s="72"/>
      <c r="W161" s="304"/>
      <c r="X161" s="305"/>
      <c r="Y161" s="305"/>
      <c r="Z161" s="305"/>
      <c r="AA161" s="305"/>
      <c r="AB161" s="305"/>
      <c r="AC161" s="305"/>
      <c r="AD161" s="305"/>
      <c r="AE161" s="305"/>
      <c r="AF161" s="305"/>
      <c r="AG161" s="306"/>
    </row>
    <row r="162" spans="3:33" s="51" customFormat="1" ht="18" thickBot="1">
      <c r="C162" s="327"/>
      <c r="D162" s="328"/>
      <c r="E162" s="328"/>
      <c r="F162" s="328"/>
      <c r="G162" s="328"/>
      <c r="H162" s="328"/>
      <c r="I162" s="328"/>
      <c r="J162" s="329"/>
      <c r="K162" s="330"/>
      <c r="L162" s="331"/>
      <c r="M162" s="332"/>
      <c r="N162" s="333"/>
      <c r="O162" s="331"/>
      <c r="P162" s="331"/>
      <c r="Q162" s="331"/>
      <c r="R162" s="335">
        <f t="shared" si="3"/>
        <v>0</v>
      </c>
      <c r="S162" s="337">
        <f t="shared" si="4"/>
        <v>0</v>
      </c>
      <c r="T162" s="50"/>
      <c r="U162" s="74"/>
      <c r="V162" s="72"/>
      <c r="W162" s="304"/>
      <c r="X162" s="305"/>
      <c r="Y162" s="305"/>
      <c r="Z162" s="305"/>
      <c r="AA162" s="305"/>
      <c r="AB162" s="305"/>
      <c r="AC162" s="305"/>
      <c r="AD162" s="305"/>
      <c r="AE162" s="305"/>
      <c r="AF162" s="305"/>
      <c r="AG162" s="306"/>
    </row>
    <row r="163" spans="3:33" s="51" customFormat="1" ht="18" thickBot="1">
      <c r="C163" s="327"/>
      <c r="D163" s="328"/>
      <c r="E163" s="328"/>
      <c r="F163" s="328"/>
      <c r="G163" s="328"/>
      <c r="H163" s="328"/>
      <c r="I163" s="328"/>
      <c r="J163" s="329"/>
      <c r="K163" s="330"/>
      <c r="L163" s="331"/>
      <c r="M163" s="332"/>
      <c r="N163" s="333"/>
      <c r="O163" s="331"/>
      <c r="P163" s="331"/>
      <c r="Q163" s="331"/>
      <c r="R163" s="335">
        <f t="shared" si="3"/>
        <v>0</v>
      </c>
      <c r="S163" s="337">
        <f t="shared" si="4"/>
        <v>0</v>
      </c>
      <c r="T163" s="50"/>
      <c r="U163" s="74"/>
      <c r="V163" s="72"/>
      <c r="W163" s="304"/>
      <c r="X163" s="305"/>
      <c r="Y163" s="305"/>
      <c r="Z163" s="305"/>
      <c r="AA163" s="305"/>
      <c r="AB163" s="305"/>
      <c r="AC163" s="305"/>
      <c r="AD163" s="305"/>
      <c r="AE163" s="305"/>
      <c r="AF163" s="305"/>
      <c r="AG163" s="306"/>
    </row>
    <row r="164" spans="3:33" s="51" customFormat="1" ht="18" thickBot="1">
      <c r="C164" s="327"/>
      <c r="D164" s="328"/>
      <c r="E164" s="328"/>
      <c r="F164" s="328"/>
      <c r="G164" s="328"/>
      <c r="H164" s="328"/>
      <c r="I164" s="328"/>
      <c r="J164" s="329"/>
      <c r="K164" s="330"/>
      <c r="L164" s="331"/>
      <c r="M164" s="332"/>
      <c r="N164" s="333"/>
      <c r="O164" s="331"/>
      <c r="P164" s="331"/>
      <c r="Q164" s="331"/>
      <c r="R164" s="335">
        <f t="shared" si="3"/>
        <v>0</v>
      </c>
      <c r="S164" s="337">
        <f t="shared" si="4"/>
        <v>0</v>
      </c>
      <c r="T164" s="50"/>
      <c r="U164" s="74"/>
      <c r="V164" s="72"/>
      <c r="W164" s="304"/>
      <c r="X164" s="305"/>
      <c r="Y164" s="305"/>
      <c r="Z164" s="305"/>
      <c r="AA164" s="305"/>
      <c r="AB164" s="305"/>
      <c r="AC164" s="305"/>
      <c r="AD164" s="305"/>
      <c r="AE164" s="305"/>
      <c r="AF164" s="305"/>
      <c r="AG164" s="306"/>
    </row>
    <row r="165" spans="3:33" s="51" customFormat="1" ht="18" thickBot="1">
      <c r="C165" s="327"/>
      <c r="D165" s="328"/>
      <c r="E165" s="328"/>
      <c r="F165" s="328"/>
      <c r="G165" s="328"/>
      <c r="H165" s="328"/>
      <c r="I165" s="328"/>
      <c r="J165" s="329"/>
      <c r="K165" s="330"/>
      <c r="L165" s="331"/>
      <c r="M165" s="332"/>
      <c r="N165" s="333"/>
      <c r="O165" s="331"/>
      <c r="P165" s="331"/>
      <c r="Q165" s="331"/>
      <c r="R165" s="335">
        <f t="shared" si="3"/>
        <v>0</v>
      </c>
      <c r="S165" s="337">
        <f t="shared" si="4"/>
        <v>0</v>
      </c>
      <c r="T165" s="50"/>
      <c r="U165" s="74"/>
      <c r="V165" s="72"/>
      <c r="W165" s="304"/>
      <c r="X165" s="305"/>
      <c r="Y165" s="305"/>
      <c r="Z165" s="305"/>
      <c r="AA165" s="305"/>
      <c r="AB165" s="305"/>
      <c r="AC165" s="305"/>
      <c r="AD165" s="305"/>
      <c r="AE165" s="305"/>
      <c r="AF165" s="305"/>
      <c r="AG165" s="306"/>
    </row>
    <row r="166" spans="3:33" s="51" customFormat="1" ht="18" thickBot="1">
      <c r="C166" s="327"/>
      <c r="D166" s="328"/>
      <c r="E166" s="328"/>
      <c r="F166" s="328"/>
      <c r="G166" s="328"/>
      <c r="H166" s="328"/>
      <c r="I166" s="328"/>
      <c r="J166" s="329"/>
      <c r="K166" s="330"/>
      <c r="L166" s="331"/>
      <c r="M166" s="332"/>
      <c r="N166" s="333"/>
      <c r="O166" s="331"/>
      <c r="P166" s="331"/>
      <c r="Q166" s="331"/>
      <c r="R166" s="335">
        <f t="shared" si="3"/>
        <v>0</v>
      </c>
      <c r="S166" s="337">
        <f t="shared" si="4"/>
        <v>0</v>
      </c>
      <c r="T166" s="50"/>
      <c r="U166" s="74"/>
      <c r="V166" s="72"/>
      <c r="W166" s="304"/>
      <c r="X166" s="305"/>
      <c r="Y166" s="305"/>
      <c r="Z166" s="305"/>
      <c r="AA166" s="305"/>
      <c r="AB166" s="305"/>
      <c r="AC166" s="305"/>
      <c r="AD166" s="305"/>
      <c r="AE166" s="305"/>
      <c r="AF166" s="305"/>
      <c r="AG166" s="306"/>
    </row>
    <row r="167" spans="3:33" s="51" customFormat="1" ht="18" thickBot="1">
      <c r="C167" s="327"/>
      <c r="D167" s="328"/>
      <c r="E167" s="328"/>
      <c r="F167" s="328"/>
      <c r="G167" s="328"/>
      <c r="H167" s="328"/>
      <c r="I167" s="328"/>
      <c r="J167" s="329"/>
      <c r="K167" s="330"/>
      <c r="L167" s="331"/>
      <c r="M167" s="332"/>
      <c r="N167" s="333"/>
      <c r="O167" s="331"/>
      <c r="P167" s="331"/>
      <c r="Q167" s="331"/>
      <c r="R167" s="335">
        <f t="shared" si="3"/>
        <v>0</v>
      </c>
      <c r="S167" s="337">
        <f t="shared" si="4"/>
        <v>0</v>
      </c>
      <c r="T167" s="50"/>
      <c r="U167" s="74"/>
      <c r="V167" s="72"/>
      <c r="W167" s="304"/>
      <c r="X167" s="305"/>
      <c r="Y167" s="305"/>
      <c r="Z167" s="305"/>
      <c r="AA167" s="305"/>
      <c r="AB167" s="305"/>
      <c r="AC167" s="305"/>
      <c r="AD167" s="305"/>
      <c r="AE167" s="305"/>
      <c r="AF167" s="305"/>
      <c r="AG167" s="306"/>
    </row>
    <row r="168" spans="3:33" s="51" customFormat="1" ht="18" thickBot="1">
      <c r="C168" s="327"/>
      <c r="D168" s="328"/>
      <c r="E168" s="328"/>
      <c r="F168" s="328"/>
      <c r="G168" s="328"/>
      <c r="H168" s="328"/>
      <c r="I168" s="328"/>
      <c r="J168" s="329"/>
      <c r="K168" s="330"/>
      <c r="L168" s="331"/>
      <c r="M168" s="332"/>
      <c r="N168" s="333"/>
      <c r="O168" s="331"/>
      <c r="P168" s="331"/>
      <c r="Q168" s="331"/>
      <c r="R168" s="335">
        <f t="shared" si="3"/>
        <v>0</v>
      </c>
      <c r="S168" s="337">
        <f t="shared" si="4"/>
        <v>0</v>
      </c>
      <c r="T168" s="50"/>
      <c r="U168" s="74"/>
      <c r="V168" s="72"/>
      <c r="W168" s="304"/>
      <c r="X168" s="305"/>
      <c r="Y168" s="305"/>
      <c r="Z168" s="305"/>
      <c r="AA168" s="305"/>
      <c r="AB168" s="305"/>
      <c r="AC168" s="305"/>
      <c r="AD168" s="305"/>
      <c r="AE168" s="305"/>
      <c r="AF168" s="305"/>
      <c r="AG168" s="306"/>
    </row>
    <row r="169" spans="3:33" s="51" customFormat="1" ht="18" thickBot="1">
      <c r="C169" s="327"/>
      <c r="D169" s="328"/>
      <c r="E169" s="328"/>
      <c r="F169" s="328"/>
      <c r="G169" s="328"/>
      <c r="H169" s="328"/>
      <c r="I169" s="328"/>
      <c r="J169" s="329"/>
      <c r="K169" s="330"/>
      <c r="L169" s="331"/>
      <c r="M169" s="332"/>
      <c r="N169" s="333"/>
      <c r="O169" s="331"/>
      <c r="P169" s="331"/>
      <c r="Q169" s="331"/>
      <c r="R169" s="335">
        <f t="shared" si="3"/>
        <v>0</v>
      </c>
      <c r="S169" s="337">
        <f t="shared" si="4"/>
        <v>0</v>
      </c>
      <c r="T169" s="50"/>
      <c r="U169" s="74"/>
      <c r="V169" s="72"/>
      <c r="W169" s="304"/>
      <c r="X169" s="305"/>
      <c r="Y169" s="305"/>
      <c r="Z169" s="305"/>
      <c r="AA169" s="305"/>
      <c r="AB169" s="305"/>
      <c r="AC169" s="305"/>
      <c r="AD169" s="305"/>
      <c r="AE169" s="305"/>
      <c r="AF169" s="305"/>
      <c r="AG169" s="306"/>
    </row>
    <row r="170" spans="3:33" s="51" customFormat="1" ht="18" thickBot="1">
      <c r="C170" s="327"/>
      <c r="D170" s="328"/>
      <c r="E170" s="328"/>
      <c r="F170" s="328"/>
      <c r="G170" s="328"/>
      <c r="H170" s="328"/>
      <c r="I170" s="328"/>
      <c r="J170" s="329"/>
      <c r="K170" s="330"/>
      <c r="L170" s="331"/>
      <c r="M170" s="332"/>
      <c r="N170" s="333"/>
      <c r="O170" s="331"/>
      <c r="P170" s="331"/>
      <c r="Q170" s="331"/>
      <c r="R170" s="335">
        <f t="shared" si="3"/>
        <v>0</v>
      </c>
      <c r="S170" s="337">
        <f t="shared" si="4"/>
        <v>0</v>
      </c>
      <c r="T170" s="50"/>
      <c r="U170" s="74"/>
      <c r="V170" s="72"/>
      <c r="W170" s="304"/>
      <c r="X170" s="305"/>
      <c r="Y170" s="305"/>
      <c r="Z170" s="305"/>
      <c r="AA170" s="305"/>
      <c r="AB170" s="305"/>
      <c r="AC170" s="305"/>
      <c r="AD170" s="305"/>
      <c r="AE170" s="305"/>
      <c r="AF170" s="305"/>
      <c r="AG170" s="306"/>
    </row>
    <row r="171" spans="3:33" s="51" customFormat="1" ht="18" thickBot="1">
      <c r="C171" s="327"/>
      <c r="D171" s="328"/>
      <c r="E171" s="328"/>
      <c r="F171" s="328"/>
      <c r="G171" s="328"/>
      <c r="H171" s="328"/>
      <c r="I171" s="328"/>
      <c r="J171" s="329"/>
      <c r="K171" s="330"/>
      <c r="L171" s="331"/>
      <c r="M171" s="332"/>
      <c r="N171" s="333"/>
      <c r="O171" s="331"/>
      <c r="P171" s="331"/>
      <c r="Q171" s="331"/>
      <c r="R171" s="335">
        <f t="shared" si="3"/>
        <v>0</v>
      </c>
      <c r="S171" s="337">
        <f t="shared" si="4"/>
        <v>0</v>
      </c>
      <c r="T171" s="50"/>
      <c r="U171" s="74"/>
      <c r="V171" s="72"/>
      <c r="W171" s="304"/>
      <c r="X171" s="305"/>
      <c r="Y171" s="305"/>
      <c r="Z171" s="305"/>
      <c r="AA171" s="305"/>
      <c r="AB171" s="305"/>
      <c r="AC171" s="305"/>
      <c r="AD171" s="305"/>
      <c r="AE171" s="305"/>
      <c r="AF171" s="305"/>
      <c r="AG171" s="306"/>
    </row>
    <row r="172" spans="3:33" s="51" customFormat="1" ht="18" thickBot="1">
      <c r="C172" s="327"/>
      <c r="D172" s="328"/>
      <c r="E172" s="328"/>
      <c r="F172" s="328"/>
      <c r="G172" s="328"/>
      <c r="H172" s="328"/>
      <c r="I172" s="328"/>
      <c r="J172" s="329"/>
      <c r="K172" s="330"/>
      <c r="L172" s="331"/>
      <c r="M172" s="332"/>
      <c r="N172" s="333"/>
      <c r="O172" s="331"/>
      <c r="P172" s="331"/>
      <c r="Q172" s="331"/>
      <c r="R172" s="335">
        <f t="shared" si="3"/>
        <v>0</v>
      </c>
      <c r="S172" s="337">
        <f t="shared" si="4"/>
        <v>0</v>
      </c>
      <c r="T172" s="50"/>
      <c r="U172" s="74"/>
      <c r="V172" s="72"/>
      <c r="W172" s="304"/>
      <c r="X172" s="305"/>
      <c r="Y172" s="305"/>
      <c r="Z172" s="305"/>
      <c r="AA172" s="305"/>
      <c r="AB172" s="305"/>
      <c r="AC172" s="305"/>
      <c r="AD172" s="305"/>
      <c r="AE172" s="305"/>
      <c r="AF172" s="305"/>
      <c r="AG172" s="306"/>
    </row>
    <row r="173" spans="3:33" s="51" customFormat="1" ht="18" thickBot="1">
      <c r="C173" s="327"/>
      <c r="D173" s="328"/>
      <c r="E173" s="328"/>
      <c r="F173" s="328"/>
      <c r="G173" s="328"/>
      <c r="H173" s="328"/>
      <c r="I173" s="328"/>
      <c r="J173" s="329"/>
      <c r="K173" s="330"/>
      <c r="L173" s="331"/>
      <c r="M173" s="332"/>
      <c r="N173" s="333"/>
      <c r="O173" s="331"/>
      <c r="P173" s="331"/>
      <c r="Q173" s="331"/>
      <c r="R173" s="335">
        <f t="shared" si="3"/>
        <v>0</v>
      </c>
      <c r="S173" s="337">
        <f t="shared" si="4"/>
        <v>0</v>
      </c>
      <c r="T173" s="50"/>
      <c r="U173" s="74"/>
      <c r="V173" s="72"/>
      <c r="W173" s="304"/>
      <c r="X173" s="305"/>
      <c r="Y173" s="305"/>
      <c r="Z173" s="305"/>
      <c r="AA173" s="305"/>
      <c r="AB173" s="305"/>
      <c r="AC173" s="305"/>
      <c r="AD173" s="305"/>
      <c r="AE173" s="305"/>
      <c r="AF173" s="305"/>
      <c r="AG173" s="306"/>
    </row>
    <row r="174" spans="3:33" s="51" customFormat="1" ht="18" thickBot="1">
      <c r="C174" s="327"/>
      <c r="D174" s="328"/>
      <c r="E174" s="328"/>
      <c r="F174" s="328"/>
      <c r="G174" s="328"/>
      <c r="H174" s="328"/>
      <c r="I174" s="328"/>
      <c r="J174" s="329"/>
      <c r="K174" s="330"/>
      <c r="L174" s="331"/>
      <c r="M174" s="332"/>
      <c r="N174" s="333"/>
      <c r="O174" s="331"/>
      <c r="P174" s="331"/>
      <c r="Q174" s="331"/>
      <c r="R174" s="335">
        <f t="shared" si="3"/>
        <v>0</v>
      </c>
      <c r="S174" s="337">
        <f t="shared" si="4"/>
        <v>0</v>
      </c>
      <c r="T174" s="50"/>
      <c r="U174" s="74"/>
      <c r="V174" s="72"/>
      <c r="W174" s="304"/>
      <c r="X174" s="305"/>
      <c r="Y174" s="305"/>
      <c r="Z174" s="305"/>
      <c r="AA174" s="305"/>
      <c r="AB174" s="305"/>
      <c r="AC174" s="305"/>
      <c r="AD174" s="305"/>
      <c r="AE174" s="305"/>
      <c r="AF174" s="305"/>
      <c r="AG174" s="306"/>
    </row>
    <row r="175" spans="3:33" s="51" customFormat="1" ht="18" thickBot="1">
      <c r="C175" s="327"/>
      <c r="D175" s="328"/>
      <c r="E175" s="328"/>
      <c r="F175" s="328"/>
      <c r="G175" s="328"/>
      <c r="H175" s="328"/>
      <c r="I175" s="328"/>
      <c r="J175" s="329"/>
      <c r="K175" s="330"/>
      <c r="L175" s="331"/>
      <c r="M175" s="332"/>
      <c r="N175" s="333"/>
      <c r="O175" s="331"/>
      <c r="P175" s="331"/>
      <c r="Q175" s="331"/>
      <c r="R175" s="335">
        <f t="shared" si="3"/>
        <v>0</v>
      </c>
      <c r="S175" s="337">
        <f t="shared" si="4"/>
        <v>0</v>
      </c>
      <c r="T175" s="50"/>
      <c r="U175" s="74"/>
      <c r="V175" s="72"/>
      <c r="W175" s="304"/>
      <c r="X175" s="305"/>
      <c r="Y175" s="305"/>
      <c r="Z175" s="305"/>
      <c r="AA175" s="305"/>
      <c r="AB175" s="305"/>
      <c r="AC175" s="305"/>
      <c r="AD175" s="305"/>
      <c r="AE175" s="305"/>
      <c r="AF175" s="305"/>
      <c r="AG175" s="306"/>
    </row>
    <row r="176" spans="3:33" s="51" customFormat="1" ht="18" thickBot="1">
      <c r="C176" s="327"/>
      <c r="D176" s="328"/>
      <c r="E176" s="328"/>
      <c r="F176" s="328"/>
      <c r="G176" s="328"/>
      <c r="H176" s="328"/>
      <c r="I176" s="328"/>
      <c r="J176" s="329"/>
      <c r="K176" s="330"/>
      <c r="L176" s="331"/>
      <c r="M176" s="332"/>
      <c r="N176" s="333"/>
      <c r="O176" s="331"/>
      <c r="P176" s="331"/>
      <c r="Q176" s="331"/>
      <c r="R176" s="335">
        <f t="shared" si="3"/>
        <v>0</v>
      </c>
      <c r="S176" s="337">
        <f t="shared" si="4"/>
        <v>0</v>
      </c>
      <c r="T176" s="50"/>
      <c r="U176" s="74"/>
      <c r="V176" s="72"/>
      <c r="W176" s="304"/>
      <c r="X176" s="305"/>
      <c r="Y176" s="305"/>
      <c r="Z176" s="305"/>
      <c r="AA176" s="305"/>
      <c r="AB176" s="305"/>
      <c r="AC176" s="305"/>
      <c r="AD176" s="305"/>
      <c r="AE176" s="305"/>
      <c r="AF176" s="305"/>
      <c r="AG176" s="306"/>
    </row>
    <row r="177" spans="3:33" s="51" customFormat="1" ht="18" thickBot="1">
      <c r="C177" s="327"/>
      <c r="D177" s="328"/>
      <c r="E177" s="328"/>
      <c r="F177" s="328"/>
      <c r="G177" s="328"/>
      <c r="H177" s="328"/>
      <c r="I177" s="328"/>
      <c r="J177" s="329"/>
      <c r="K177" s="330"/>
      <c r="L177" s="331"/>
      <c r="M177" s="332"/>
      <c r="N177" s="333"/>
      <c r="O177" s="331"/>
      <c r="P177" s="331"/>
      <c r="Q177" s="331"/>
      <c r="R177" s="335">
        <f t="shared" si="3"/>
        <v>0</v>
      </c>
      <c r="S177" s="337">
        <f t="shared" si="4"/>
        <v>0</v>
      </c>
      <c r="T177" s="50"/>
      <c r="U177" s="74"/>
      <c r="V177" s="72"/>
      <c r="W177" s="304"/>
      <c r="X177" s="305"/>
      <c r="Y177" s="305"/>
      <c r="Z177" s="305"/>
      <c r="AA177" s="305"/>
      <c r="AB177" s="305"/>
      <c r="AC177" s="305"/>
      <c r="AD177" s="305"/>
      <c r="AE177" s="305"/>
      <c r="AF177" s="305"/>
      <c r="AG177" s="306"/>
    </row>
    <row r="178" spans="3:33" s="51" customFormat="1" ht="18" thickBot="1">
      <c r="C178" s="327"/>
      <c r="D178" s="328"/>
      <c r="E178" s="328"/>
      <c r="F178" s="328"/>
      <c r="G178" s="328"/>
      <c r="H178" s="328"/>
      <c r="I178" s="328"/>
      <c r="J178" s="329"/>
      <c r="K178" s="330"/>
      <c r="L178" s="331"/>
      <c r="M178" s="332"/>
      <c r="N178" s="333"/>
      <c r="O178" s="331"/>
      <c r="P178" s="331"/>
      <c r="Q178" s="331"/>
      <c r="R178" s="335">
        <f t="shared" si="3"/>
        <v>0</v>
      </c>
      <c r="S178" s="337">
        <f t="shared" si="4"/>
        <v>0</v>
      </c>
      <c r="T178" s="50"/>
      <c r="U178" s="74"/>
      <c r="V178" s="72"/>
      <c r="W178" s="304"/>
      <c r="X178" s="305"/>
      <c r="Y178" s="305"/>
      <c r="Z178" s="305"/>
      <c r="AA178" s="305"/>
      <c r="AB178" s="305"/>
      <c r="AC178" s="305"/>
      <c r="AD178" s="305"/>
      <c r="AE178" s="305"/>
      <c r="AF178" s="305"/>
      <c r="AG178" s="306"/>
    </row>
    <row r="179" spans="3:33" s="51" customFormat="1" ht="18" thickBot="1">
      <c r="C179" s="327"/>
      <c r="D179" s="328"/>
      <c r="E179" s="328"/>
      <c r="F179" s="328"/>
      <c r="G179" s="328"/>
      <c r="H179" s="328"/>
      <c r="I179" s="328"/>
      <c r="J179" s="329"/>
      <c r="K179" s="330"/>
      <c r="L179" s="331"/>
      <c r="M179" s="332"/>
      <c r="N179" s="333"/>
      <c r="O179" s="331"/>
      <c r="P179" s="331"/>
      <c r="Q179" s="331"/>
      <c r="R179" s="335">
        <f t="shared" si="3"/>
        <v>0</v>
      </c>
      <c r="S179" s="337">
        <f t="shared" si="4"/>
        <v>0</v>
      </c>
      <c r="T179" s="50"/>
      <c r="U179" s="74"/>
      <c r="V179" s="72"/>
      <c r="W179" s="304"/>
      <c r="X179" s="305"/>
      <c r="Y179" s="305"/>
      <c r="Z179" s="305"/>
      <c r="AA179" s="305"/>
      <c r="AB179" s="305"/>
      <c r="AC179" s="305"/>
      <c r="AD179" s="305"/>
      <c r="AE179" s="305"/>
      <c r="AF179" s="305"/>
      <c r="AG179" s="306"/>
    </row>
    <row r="180" spans="3:33" s="51" customFormat="1" ht="18" thickBot="1">
      <c r="C180" s="327"/>
      <c r="D180" s="328"/>
      <c r="E180" s="328"/>
      <c r="F180" s="328"/>
      <c r="G180" s="328"/>
      <c r="H180" s="328"/>
      <c r="I180" s="328"/>
      <c r="J180" s="329"/>
      <c r="K180" s="330"/>
      <c r="L180" s="331"/>
      <c r="M180" s="332"/>
      <c r="N180" s="333"/>
      <c r="O180" s="331"/>
      <c r="P180" s="331"/>
      <c r="Q180" s="331"/>
      <c r="R180" s="335">
        <f t="shared" ref="R180:R201" si="5">N180*(1+O180)*(1+P180)</f>
        <v>0</v>
      </c>
      <c r="S180" s="337">
        <f t="shared" ref="S180:S201" si="6">IF(OR(K180&lt;&gt;0,K180&lt;&gt;""),(K180+L180)*R180,R180*(J180+L180))</f>
        <v>0</v>
      </c>
      <c r="T180" s="50"/>
      <c r="U180" s="74"/>
      <c r="V180" s="72"/>
      <c r="W180" s="304"/>
      <c r="X180" s="305"/>
      <c r="Y180" s="305"/>
      <c r="Z180" s="305"/>
      <c r="AA180" s="305"/>
      <c r="AB180" s="305"/>
      <c r="AC180" s="305"/>
      <c r="AD180" s="305"/>
      <c r="AE180" s="305"/>
      <c r="AF180" s="305"/>
      <c r="AG180" s="306"/>
    </row>
    <row r="181" spans="3:33" s="51" customFormat="1" ht="18" thickBot="1">
      <c r="C181" s="327"/>
      <c r="D181" s="328"/>
      <c r="E181" s="328"/>
      <c r="F181" s="328"/>
      <c r="G181" s="328"/>
      <c r="H181" s="328"/>
      <c r="I181" s="328"/>
      <c r="J181" s="329"/>
      <c r="K181" s="330"/>
      <c r="L181" s="331"/>
      <c r="M181" s="332"/>
      <c r="N181" s="333"/>
      <c r="O181" s="331"/>
      <c r="P181" s="331"/>
      <c r="Q181" s="331"/>
      <c r="R181" s="335">
        <f t="shared" si="5"/>
        <v>0</v>
      </c>
      <c r="S181" s="337">
        <f t="shared" si="6"/>
        <v>0</v>
      </c>
      <c r="T181" s="50"/>
      <c r="U181" s="74"/>
      <c r="V181" s="72"/>
      <c r="W181" s="304"/>
      <c r="X181" s="305"/>
      <c r="Y181" s="305"/>
      <c r="Z181" s="305"/>
      <c r="AA181" s="305"/>
      <c r="AB181" s="305"/>
      <c r="AC181" s="305"/>
      <c r="AD181" s="305"/>
      <c r="AE181" s="305"/>
      <c r="AF181" s="305"/>
      <c r="AG181" s="306"/>
    </row>
    <row r="182" spans="3:33" s="51" customFormat="1" ht="18" thickBot="1">
      <c r="C182" s="327"/>
      <c r="D182" s="328"/>
      <c r="E182" s="328"/>
      <c r="F182" s="328"/>
      <c r="G182" s="328"/>
      <c r="H182" s="328"/>
      <c r="I182" s="328"/>
      <c r="J182" s="329"/>
      <c r="K182" s="330"/>
      <c r="L182" s="331"/>
      <c r="M182" s="332"/>
      <c r="N182" s="333"/>
      <c r="O182" s="331"/>
      <c r="P182" s="331"/>
      <c r="Q182" s="331"/>
      <c r="R182" s="335">
        <f t="shared" si="5"/>
        <v>0</v>
      </c>
      <c r="S182" s="337">
        <f t="shared" si="6"/>
        <v>0</v>
      </c>
      <c r="T182" s="50"/>
      <c r="U182" s="74"/>
      <c r="V182" s="72"/>
      <c r="W182" s="304"/>
      <c r="X182" s="305"/>
      <c r="Y182" s="305"/>
      <c r="Z182" s="305"/>
      <c r="AA182" s="305"/>
      <c r="AB182" s="305"/>
      <c r="AC182" s="305"/>
      <c r="AD182" s="305"/>
      <c r="AE182" s="305"/>
      <c r="AF182" s="305"/>
      <c r="AG182" s="306"/>
    </row>
    <row r="183" spans="3:33" s="51" customFormat="1" ht="18" thickBot="1">
      <c r="C183" s="327"/>
      <c r="D183" s="328"/>
      <c r="E183" s="328"/>
      <c r="F183" s="328"/>
      <c r="G183" s="328"/>
      <c r="H183" s="328"/>
      <c r="I183" s="328"/>
      <c r="J183" s="329"/>
      <c r="K183" s="330"/>
      <c r="L183" s="331"/>
      <c r="M183" s="332"/>
      <c r="N183" s="333"/>
      <c r="O183" s="331"/>
      <c r="P183" s="331"/>
      <c r="Q183" s="331"/>
      <c r="R183" s="335">
        <f t="shared" si="5"/>
        <v>0</v>
      </c>
      <c r="S183" s="337">
        <f t="shared" si="6"/>
        <v>0</v>
      </c>
      <c r="T183" s="50"/>
      <c r="U183" s="74"/>
      <c r="V183" s="72"/>
      <c r="W183" s="304"/>
      <c r="X183" s="305"/>
      <c r="Y183" s="305"/>
      <c r="Z183" s="305"/>
      <c r="AA183" s="305"/>
      <c r="AB183" s="305"/>
      <c r="AC183" s="305"/>
      <c r="AD183" s="305"/>
      <c r="AE183" s="305"/>
      <c r="AF183" s="305"/>
      <c r="AG183" s="306"/>
    </row>
    <row r="184" spans="3:33" s="51" customFormat="1" ht="18" thickBot="1">
      <c r="C184" s="327"/>
      <c r="D184" s="328"/>
      <c r="E184" s="328"/>
      <c r="F184" s="328"/>
      <c r="G184" s="328"/>
      <c r="H184" s="328"/>
      <c r="I184" s="328"/>
      <c r="J184" s="329"/>
      <c r="K184" s="330"/>
      <c r="L184" s="331"/>
      <c r="M184" s="332"/>
      <c r="N184" s="333"/>
      <c r="O184" s="331"/>
      <c r="P184" s="331"/>
      <c r="Q184" s="331"/>
      <c r="R184" s="335">
        <f t="shared" si="5"/>
        <v>0</v>
      </c>
      <c r="S184" s="337">
        <f t="shared" si="6"/>
        <v>0</v>
      </c>
      <c r="T184" s="50"/>
      <c r="U184" s="74"/>
      <c r="V184" s="72"/>
      <c r="W184" s="304"/>
      <c r="X184" s="305"/>
      <c r="Y184" s="305"/>
      <c r="Z184" s="305"/>
      <c r="AA184" s="305"/>
      <c r="AB184" s="305"/>
      <c r="AC184" s="305"/>
      <c r="AD184" s="305"/>
      <c r="AE184" s="305"/>
      <c r="AF184" s="305"/>
      <c r="AG184" s="306"/>
    </row>
    <row r="185" spans="3:33" s="51" customFormat="1" ht="18" thickBot="1">
      <c r="C185" s="327"/>
      <c r="D185" s="328"/>
      <c r="E185" s="328"/>
      <c r="F185" s="328"/>
      <c r="G185" s="328"/>
      <c r="H185" s="328"/>
      <c r="I185" s="328"/>
      <c r="J185" s="329"/>
      <c r="K185" s="330"/>
      <c r="L185" s="331"/>
      <c r="M185" s="332"/>
      <c r="N185" s="333"/>
      <c r="O185" s="331"/>
      <c r="P185" s="331"/>
      <c r="Q185" s="331"/>
      <c r="R185" s="335">
        <f t="shared" si="5"/>
        <v>0</v>
      </c>
      <c r="S185" s="337">
        <f t="shared" si="6"/>
        <v>0</v>
      </c>
      <c r="T185" s="50"/>
      <c r="U185" s="74"/>
      <c r="V185" s="72"/>
      <c r="W185" s="304"/>
      <c r="X185" s="305"/>
      <c r="Y185" s="305"/>
      <c r="Z185" s="305"/>
      <c r="AA185" s="305"/>
      <c r="AB185" s="305"/>
      <c r="AC185" s="305"/>
      <c r="AD185" s="305"/>
      <c r="AE185" s="305"/>
      <c r="AF185" s="305"/>
      <c r="AG185" s="306"/>
    </row>
    <row r="186" spans="3:33" s="51" customFormat="1" ht="18" thickBot="1">
      <c r="C186" s="327"/>
      <c r="D186" s="328"/>
      <c r="E186" s="328"/>
      <c r="F186" s="328"/>
      <c r="G186" s="328"/>
      <c r="H186" s="328"/>
      <c r="I186" s="328"/>
      <c r="J186" s="329"/>
      <c r="K186" s="330"/>
      <c r="L186" s="331"/>
      <c r="M186" s="332"/>
      <c r="N186" s="333"/>
      <c r="O186" s="331"/>
      <c r="P186" s="331"/>
      <c r="Q186" s="331"/>
      <c r="R186" s="335">
        <f t="shared" si="5"/>
        <v>0</v>
      </c>
      <c r="S186" s="337">
        <f t="shared" si="6"/>
        <v>0</v>
      </c>
      <c r="T186" s="50"/>
      <c r="U186" s="74"/>
      <c r="V186" s="72"/>
      <c r="W186" s="304"/>
      <c r="X186" s="305"/>
      <c r="Y186" s="305"/>
      <c r="Z186" s="305"/>
      <c r="AA186" s="305"/>
      <c r="AB186" s="305"/>
      <c r="AC186" s="305"/>
      <c r="AD186" s="305"/>
      <c r="AE186" s="305"/>
      <c r="AF186" s="305"/>
      <c r="AG186" s="306"/>
    </row>
    <row r="187" spans="3:33" s="51" customFormat="1" ht="18" thickBot="1">
      <c r="C187" s="327"/>
      <c r="D187" s="328"/>
      <c r="E187" s="328"/>
      <c r="F187" s="328"/>
      <c r="G187" s="328"/>
      <c r="H187" s="328"/>
      <c r="I187" s="328"/>
      <c r="J187" s="329"/>
      <c r="K187" s="330"/>
      <c r="L187" s="331"/>
      <c r="M187" s="332"/>
      <c r="N187" s="333"/>
      <c r="O187" s="331"/>
      <c r="P187" s="331"/>
      <c r="Q187" s="331"/>
      <c r="R187" s="335">
        <f t="shared" si="5"/>
        <v>0</v>
      </c>
      <c r="S187" s="337">
        <f t="shared" si="6"/>
        <v>0</v>
      </c>
      <c r="T187" s="50"/>
      <c r="U187" s="74"/>
      <c r="V187" s="72"/>
      <c r="W187" s="304"/>
      <c r="X187" s="305"/>
      <c r="Y187" s="305"/>
      <c r="Z187" s="305"/>
      <c r="AA187" s="305"/>
      <c r="AB187" s="305"/>
      <c r="AC187" s="305"/>
      <c r="AD187" s="305"/>
      <c r="AE187" s="305"/>
      <c r="AF187" s="305"/>
      <c r="AG187" s="306"/>
    </row>
    <row r="188" spans="3:33" s="51" customFormat="1" ht="18" thickBot="1">
      <c r="C188" s="327"/>
      <c r="D188" s="328"/>
      <c r="E188" s="328"/>
      <c r="F188" s="328"/>
      <c r="G188" s="328"/>
      <c r="H188" s="328"/>
      <c r="I188" s="328"/>
      <c r="J188" s="329"/>
      <c r="K188" s="330"/>
      <c r="L188" s="331"/>
      <c r="M188" s="332"/>
      <c r="N188" s="333"/>
      <c r="O188" s="331"/>
      <c r="P188" s="331"/>
      <c r="Q188" s="331"/>
      <c r="R188" s="335">
        <f t="shared" si="5"/>
        <v>0</v>
      </c>
      <c r="S188" s="337">
        <f t="shared" si="6"/>
        <v>0</v>
      </c>
      <c r="T188" s="50"/>
      <c r="U188" s="74"/>
      <c r="V188" s="72"/>
      <c r="W188" s="304"/>
      <c r="X188" s="305"/>
      <c r="Y188" s="305"/>
      <c r="Z188" s="305"/>
      <c r="AA188" s="305"/>
      <c r="AB188" s="305"/>
      <c r="AC188" s="305"/>
      <c r="AD188" s="305"/>
      <c r="AE188" s="305"/>
      <c r="AF188" s="305"/>
      <c r="AG188" s="306"/>
    </row>
    <row r="189" spans="3:33" s="51" customFormat="1" ht="18" thickBot="1">
      <c r="C189" s="327"/>
      <c r="D189" s="328"/>
      <c r="E189" s="328"/>
      <c r="F189" s="328"/>
      <c r="G189" s="328"/>
      <c r="H189" s="328"/>
      <c r="I189" s="328"/>
      <c r="J189" s="329"/>
      <c r="K189" s="330"/>
      <c r="L189" s="331"/>
      <c r="M189" s="332"/>
      <c r="N189" s="333"/>
      <c r="O189" s="331"/>
      <c r="P189" s="331"/>
      <c r="Q189" s="331"/>
      <c r="R189" s="335">
        <f t="shared" si="5"/>
        <v>0</v>
      </c>
      <c r="S189" s="337">
        <f t="shared" si="6"/>
        <v>0</v>
      </c>
      <c r="T189" s="50"/>
      <c r="U189" s="74"/>
      <c r="V189" s="72"/>
      <c r="W189" s="304"/>
      <c r="X189" s="305"/>
      <c r="Y189" s="305"/>
      <c r="Z189" s="305"/>
      <c r="AA189" s="305"/>
      <c r="AB189" s="305"/>
      <c r="AC189" s="305"/>
      <c r="AD189" s="305"/>
      <c r="AE189" s="305"/>
      <c r="AF189" s="305"/>
      <c r="AG189" s="306"/>
    </row>
    <row r="190" spans="3:33" s="51" customFormat="1" ht="18" thickBot="1">
      <c r="C190" s="327"/>
      <c r="D190" s="328"/>
      <c r="E190" s="328"/>
      <c r="F190" s="328"/>
      <c r="G190" s="328"/>
      <c r="H190" s="328"/>
      <c r="I190" s="328"/>
      <c r="J190" s="329"/>
      <c r="K190" s="330"/>
      <c r="L190" s="331"/>
      <c r="M190" s="332"/>
      <c r="N190" s="333"/>
      <c r="O190" s="331"/>
      <c r="P190" s="331"/>
      <c r="Q190" s="331"/>
      <c r="R190" s="335">
        <f t="shared" si="5"/>
        <v>0</v>
      </c>
      <c r="S190" s="337">
        <f t="shared" si="6"/>
        <v>0</v>
      </c>
      <c r="T190" s="50"/>
      <c r="U190" s="74"/>
      <c r="V190" s="72"/>
      <c r="W190" s="304"/>
      <c r="X190" s="305"/>
      <c r="Y190" s="305"/>
      <c r="Z190" s="305"/>
      <c r="AA190" s="305"/>
      <c r="AB190" s="305"/>
      <c r="AC190" s="305"/>
      <c r="AD190" s="305"/>
      <c r="AE190" s="305"/>
      <c r="AF190" s="305"/>
      <c r="AG190" s="306"/>
    </row>
    <row r="191" spans="3:33" s="51" customFormat="1" ht="18" thickBot="1">
      <c r="C191" s="327"/>
      <c r="D191" s="328"/>
      <c r="E191" s="328"/>
      <c r="F191" s="328"/>
      <c r="G191" s="328"/>
      <c r="H191" s="328"/>
      <c r="I191" s="328"/>
      <c r="J191" s="329"/>
      <c r="K191" s="330"/>
      <c r="L191" s="331"/>
      <c r="M191" s="332"/>
      <c r="N191" s="333"/>
      <c r="O191" s="331"/>
      <c r="P191" s="331"/>
      <c r="Q191" s="331"/>
      <c r="R191" s="335">
        <f t="shared" si="5"/>
        <v>0</v>
      </c>
      <c r="S191" s="337">
        <f t="shared" si="6"/>
        <v>0</v>
      </c>
      <c r="T191" s="50"/>
      <c r="U191" s="74"/>
      <c r="V191" s="72"/>
      <c r="W191" s="304"/>
      <c r="X191" s="305"/>
      <c r="Y191" s="305"/>
      <c r="Z191" s="305"/>
      <c r="AA191" s="305"/>
      <c r="AB191" s="305"/>
      <c r="AC191" s="305"/>
      <c r="AD191" s="305"/>
      <c r="AE191" s="305"/>
      <c r="AF191" s="305"/>
      <c r="AG191" s="306"/>
    </row>
    <row r="192" spans="3:33" s="51" customFormat="1" ht="18" thickBot="1">
      <c r="C192" s="327"/>
      <c r="D192" s="328"/>
      <c r="E192" s="328"/>
      <c r="F192" s="328"/>
      <c r="G192" s="328"/>
      <c r="H192" s="328"/>
      <c r="I192" s="328"/>
      <c r="J192" s="329"/>
      <c r="K192" s="330"/>
      <c r="L192" s="331"/>
      <c r="M192" s="332"/>
      <c r="N192" s="333"/>
      <c r="O192" s="331"/>
      <c r="P192" s="331"/>
      <c r="Q192" s="331"/>
      <c r="R192" s="335">
        <f t="shared" si="5"/>
        <v>0</v>
      </c>
      <c r="S192" s="337">
        <f t="shared" si="6"/>
        <v>0</v>
      </c>
      <c r="T192" s="50"/>
      <c r="U192" s="74"/>
      <c r="V192" s="72"/>
      <c r="W192" s="304"/>
      <c r="X192" s="305"/>
      <c r="Y192" s="305"/>
      <c r="Z192" s="305"/>
      <c r="AA192" s="305"/>
      <c r="AB192" s="305"/>
      <c r="AC192" s="305"/>
      <c r="AD192" s="305"/>
      <c r="AE192" s="305"/>
      <c r="AF192" s="305"/>
      <c r="AG192" s="306"/>
    </row>
    <row r="193" spans="3:33" s="51" customFormat="1" ht="18" thickBot="1">
      <c r="C193" s="327"/>
      <c r="D193" s="328"/>
      <c r="E193" s="328"/>
      <c r="F193" s="328"/>
      <c r="G193" s="328"/>
      <c r="H193" s="328"/>
      <c r="I193" s="328"/>
      <c r="J193" s="329"/>
      <c r="K193" s="330"/>
      <c r="L193" s="331"/>
      <c r="M193" s="332"/>
      <c r="N193" s="333"/>
      <c r="O193" s="331"/>
      <c r="P193" s="331"/>
      <c r="Q193" s="331"/>
      <c r="R193" s="335">
        <f t="shared" si="5"/>
        <v>0</v>
      </c>
      <c r="S193" s="337">
        <f t="shared" si="6"/>
        <v>0</v>
      </c>
      <c r="T193" s="50"/>
      <c r="U193" s="74"/>
      <c r="V193" s="72"/>
      <c r="W193" s="304"/>
      <c r="X193" s="305"/>
      <c r="Y193" s="305"/>
      <c r="Z193" s="305"/>
      <c r="AA193" s="305"/>
      <c r="AB193" s="305"/>
      <c r="AC193" s="305"/>
      <c r="AD193" s="305"/>
      <c r="AE193" s="305"/>
      <c r="AF193" s="305"/>
      <c r="AG193" s="306"/>
    </row>
    <row r="194" spans="3:33" s="51" customFormat="1" ht="18" thickBot="1">
      <c r="C194" s="327"/>
      <c r="D194" s="328"/>
      <c r="E194" s="328"/>
      <c r="F194" s="328"/>
      <c r="G194" s="328"/>
      <c r="H194" s="328"/>
      <c r="I194" s="328"/>
      <c r="J194" s="329"/>
      <c r="K194" s="330"/>
      <c r="L194" s="331"/>
      <c r="M194" s="332"/>
      <c r="N194" s="333"/>
      <c r="O194" s="331"/>
      <c r="P194" s="331"/>
      <c r="Q194" s="331"/>
      <c r="R194" s="335">
        <f t="shared" si="5"/>
        <v>0</v>
      </c>
      <c r="S194" s="337">
        <f t="shared" si="6"/>
        <v>0</v>
      </c>
      <c r="T194" s="50"/>
      <c r="U194" s="74"/>
      <c r="V194" s="72"/>
      <c r="W194" s="304"/>
      <c r="X194" s="305"/>
      <c r="Y194" s="305"/>
      <c r="Z194" s="305"/>
      <c r="AA194" s="305"/>
      <c r="AB194" s="305"/>
      <c r="AC194" s="305"/>
      <c r="AD194" s="305"/>
      <c r="AE194" s="305"/>
      <c r="AF194" s="305"/>
      <c r="AG194" s="306"/>
    </row>
    <row r="195" spans="3:33" s="51" customFormat="1" ht="18" thickBot="1">
      <c r="C195" s="327"/>
      <c r="D195" s="328"/>
      <c r="E195" s="328"/>
      <c r="F195" s="328"/>
      <c r="G195" s="328"/>
      <c r="H195" s="328"/>
      <c r="I195" s="328"/>
      <c r="J195" s="329"/>
      <c r="K195" s="330"/>
      <c r="L195" s="331"/>
      <c r="M195" s="332"/>
      <c r="N195" s="333"/>
      <c r="O195" s="331"/>
      <c r="P195" s="331"/>
      <c r="Q195" s="331"/>
      <c r="R195" s="335">
        <f t="shared" si="5"/>
        <v>0</v>
      </c>
      <c r="S195" s="337">
        <f t="shared" si="6"/>
        <v>0</v>
      </c>
      <c r="T195" s="50"/>
      <c r="U195" s="74"/>
      <c r="V195" s="72"/>
      <c r="W195" s="304"/>
      <c r="X195" s="305"/>
      <c r="Y195" s="305"/>
      <c r="Z195" s="305"/>
      <c r="AA195" s="305"/>
      <c r="AB195" s="305"/>
      <c r="AC195" s="305"/>
      <c r="AD195" s="305"/>
      <c r="AE195" s="305"/>
      <c r="AF195" s="305"/>
      <c r="AG195" s="306"/>
    </row>
    <row r="196" spans="3:33" s="51" customFormat="1" ht="18" thickBot="1">
      <c r="C196" s="327"/>
      <c r="D196" s="328"/>
      <c r="E196" s="328"/>
      <c r="F196" s="328"/>
      <c r="G196" s="328"/>
      <c r="H196" s="328"/>
      <c r="I196" s="328"/>
      <c r="J196" s="329"/>
      <c r="K196" s="330"/>
      <c r="L196" s="331"/>
      <c r="M196" s="332"/>
      <c r="N196" s="333"/>
      <c r="O196" s="331"/>
      <c r="P196" s="331"/>
      <c r="Q196" s="331"/>
      <c r="R196" s="335">
        <f t="shared" si="5"/>
        <v>0</v>
      </c>
      <c r="S196" s="337">
        <f t="shared" si="6"/>
        <v>0</v>
      </c>
      <c r="T196" s="50"/>
      <c r="U196" s="74"/>
      <c r="V196" s="72"/>
      <c r="W196" s="304"/>
      <c r="X196" s="305"/>
      <c r="Y196" s="305"/>
      <c r="Z196" s="305"/>
      <c r="AA196" s="305"/>
      <c r="AB196" s="305"/>
      <c r="AC196" s="305"/>
      <c r="AD196" s="305"/>
      <c r="AE196" s="305"/>
      <c r="AF196" s="305"/>
      <c r="AG196" s="306"/>
    </row>
    <row r="197" spans="3:33" s="51" customFormat="1" ht="18" thickBot="1">
      <c r="C197" s="327"/>
      <c r="D197" s="328"/>
      <c r="E197" s="328"/>
      <c r="F197" s="328"/>
      <c r="G197" s="328"/>
      <c r="H197" s="328"/>
      <c r="I197" s="328"/>
      <c r="J197" s="329"/>
      <c r="K197" s="330"/>
      <c r="L197" s="331"/>
      <c r="M197" s="332"/>
      <c r="N197" s="333"/>
      <c r="O197" s="331"/>
      <c r="P197" s="331"/>
      <c r="Q197" s="331"/>
      <c r="R197" s="335">
        <f t="shared" si="5"/>
        <v>0</v>
      </c>
      <c r="S197" s="337">
        <f t="shared" si="6"/>
        <v>0</v>
      </c>
      <c r="T197" s="50"/>
      <c r="U197" s="74"/>
      <c r="V197" s="72"/>
      <c r="W197" s="304"/>
      <c r="X197" s="305"/>
      <c r="Y197" s="305"/>
      <c r="Z197" s="305"/>
      <c r="AA197" s="305"/>
      <c r="AB197" s="305"/>
      <c r="AC197" s="305"/>
      <c r="AD197" s="305"/>
      <c r="AE197" s="305"/>
      <c r="AF197" s="305"/>
      <c r="AG197" s="306"/>
    </row>
    <row r="198" spans="3:33" s="51" customFormat="1" ht="18" thickBot="1">
      <c r="C198" s="327"/>
      <c r="D198" s="328"/>
      <c r="E198" s="328"/>
      <c r="F198" s="328"/>
      <c r="G198" s="328"/>
      <c r="H198" s="328"/>
      <c r="I198" s="328"/>
      <c r="J198" s="329"/>
      <c r="K198" s="330"/>
      <c r="L198" s="331"/>
      <c r="M198" s="332"/>
      <c r="N198" s="333"/>
      <c r="O198" s="331"/>
      <c r="P198" s="331"/>
      <c r="Q198" s="331"/>
      <c r="R198" s="335">
        <f t="shared" si="5"/>
        <v>0</v>
      </c>
      <c r="S198" s="337">
        <f t="shared" si="6"/>
        <v>0</v>
      </c>
      <c r="T198" s="50"/>
      <c r="U198" s="74"/>
      <c r="V198" s="72"/>
      <c r="W198" s="304"/>
      <c r="X198" s="305"/>
      <c r="Y198" s="305"/>
      <c r="Z198" s="305"/>
      <c r="AA198" s="305"/>
      <c r="AB198" s="305"/>
      <c r="AC198" s="305"/>
      <c r="AD198" s="305"/>
      <c r="AE198" s="305"/>
      <c r="AF198" s="305"/>
      <c r="AG198" s="306"/>
    </row>
    <row r="199" spans="3:33" s="51" customFormat="1" ht="18" thickBot="1">
      <c r="C199" s="327"/>
      <c r="D199" s="328"/>
      <c r="E199" s="328"/>
      <c r="F199" s="328"/>
      <c r="G199" s="328"/>
      <c r="H199" s="328"/>
      <c r="I199" s="328"/>
      <c r="J199" s="329"/>
      <c r="K199" s="330"/>
      <c r="L199" s="331"/>
      <c r="M199" s="332"/>
      <c r="N199" s="333"/>
      <c r="O199" s="331"/>
      <c r="P199" s="331"/>
      <c r="Q199" s="331"/>
      <c r="R199" s="335">
        <f t="shared" si="5"/>
        <v>0</v>
      </c>
      <c r="S199" s="337">
        <f t="shared" si="6"/>
        <v>0</v>
      </c>
      <c r="T199" s="50"/>
      <c r="U199" s="74"/>
      <c r="V199" s="72"/>
      <c r="W199" s="304"/>
      <c r="X199" s="305"/>
      <c r="Y199" s="305"/>
      <c r="Z199" s="305"/>
      <c r="AA199" s="305"/>
      <c r="AB199" s="305"/>
      <c r="AC199" s="305"/>
      <c r="AD199" s="305"/>
      <c r="AE199" s="305"/>
      <c r="AF199" s="305"/>
      <c r="AG199" s="306"/>
    </row>
    <row r="200" spans="3:33" s="51" customFormat="1" ht="18" thickBot="1">
      <c r="C200" s="327"/>
      <c r="D200" s="328"/>
      <c r="E200" s="328"/>
      <c r="F200" s="328"/>
      <c r="G200" s="328"/>
      <c r="H200" s="328"/>
      <c r="I200" s="328"/>
      <c r="J200" s="329"/>
      <c r="K200" s="330"/>
      <c r="L200" s="331"/>
      <c r="M200" s="332"/>
      <c r="N200" s="333"/>
      <c r="O200" s="331"/>
      <c r="P200" s="331"/>
      <c r="Q200" s="331"/>
      <c r="R200" s="335">
        <f t="shared" si="5"/>
        <v>0</v>
      </c>
      <c r="S200" s="337">
        <f t="shared" si="6"/>
        <v>0</v>
      </c>
      <c r="T200" s="50"/>
      <c r="U200" s="74"/>
      <c r="V200" s="72"/>
      <c r="W200" s="304"/>
      <c r="X200" s="305"/>
      <c r="Y200" s="305"/>
      <c r="Z200" s="305"/>
      <c r="AA200" s="305"/>
      <c r="AB200" s="305"/>
      <c r="AC200" s="305"/>
      <c r="AD200" s="305"/>
      <c r="AE200" s="305"/>
      <c r="AF200" s="305"/>
      <c r="AG200" s="306"/>
    </row>
    <row r="201" spans="3:33" s="52" customFormat="1" ht="18" thickBot="1">
      <c r="C201" s="279"/>
      <c r="D201" s="280"/>
      <c r="E201" s="281"/>
      <c r="F201" s="282"/>
      <c r="G201" s="280"/>
      <c r="H201" s="283"/>
      <c r="I201" s="283"/>
      <c r="J201" s="284"/>
      <c r="K201" s="65"/>
      <c r="L201" s="66"/>
      <c r="M201" s="315"/>
      <c r="N201" s="67"/>
      <c r="O201" s="66"/>
      <c r="P201" s="66"/>
      <c r="Q201" s="66"/>
      <c r="R201" s="335">
        <f t="shared" si="5"/>
        <v>0</v>
      </c>
      <c r="S201" s="337">
        <f t="shared" si="6"/>
        <v>0</v>
      </c>
      <c r="T201" s="50"/>
      <c r="U201" s="75"/>
      <c r="V201" s="73"/>
      <c r="W201" s="304"/>
      <c r="X201" s="305"/>
      <c r="Y201" s="305"/>
      <c r="Z201" s="305"/>
      <c r="AA201" s="305"/>
      <c r="AB201" s="305"/>
      <c r="AC201" s="305"/>
      <c r="AD201" s="305"/>
      <c r="AE201" s="305"/>
      <c r="AF201" s="305"/>
      <c r="AG201" s="306"/>
    </row>
    <row r="202" spans="3:33" s="49" customFormat="1" ht="18" thickBot="1">
      <c r="C202" s="30"/>
      <c r="D202" s="30"/>
      <c r="E202" s="30"/>
      <c r="F202" s="30"/>
      <c r="G202" s="64"/>
      <c r="H202" s="30"/>
      <c r="I202" s="30"/>
      <c r="J202" s="30"/>
      <c r="K202" s="30"/>
      <c r="L202" s="30"/>
      <c r="M202" s="30"/>
      <c r="N202" s="30"/>
      <c r="O202" s="64"/>
      <c r="P202" s="30"/>
      <c r="Q202" s="30"/>
      <c r="R202" s="30"/>
      <c r="S202" s="30"/>
      <c r="T202" s="30"/>
      <c r="U202" s="30"/>
      <c r="V202" s="71"/>
    </row>
    <row r="203" spans="3:33" s="51" customFormat="1" ht="36" thickBot="1">
      <c r="C203" s="237" t="s">
        <v>193</v>
      </c>
      <c r="D203" s="238"/>
      <c r="E203" s="238"/>
      <c r="F203" s="238"/>
      <c r="G203" s="238"/>
      <c r="H203" s="238"/>
      <c r="I203" s="238"/>
      <c r="J203" s="238"/>
      <c r="K203" s="238"/>
      <c r="L203" s="238"/>
      <c r="M203" s="238"/>
      <c r="N203" s="238"/>
      <c r="O203" s="238"/>
      <c r="P203" s="238"/>
      <c r="Q203" s="238"/>
      <c r="R203" s="238"/>
      <c r="S203" s="238"/>
      <c r="T203" s="238"/>
      <c r="U203" s="239"/>
      <c r="V203" s="72"/>
      <c r="W203" s="82" t="s">
        <v>151</v>
      </c>
      <c r="X203" s="187"/>
      <c r="Y203" s="187"/>
      <c r="Z203" s="187"/>
      <c r="AA203" s="187"/>
      <c r="AB203" s="187"/>
      <c r="AC203" s="187"/>
      <c r="AD203" s="187"/>
      <c r="AE203" s="187"/>
      <c r="AF203" s="42" t="s">
        <v>162</v>
      </c>
      <c r="AG203" s="42" t="s">
        <v>112</v>
      </c>
    </row>
    <row r="204" spans="3:33" s="49" customFormat="1" ht="18" thickBot="1">
      <c r="C204" s="17"/>
      <c r="D204" s="2"/>
      <c r="E204" s="2"/>
      <c r="F204" s="2"/>
      <c r="G204" s="1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18"/>
      <c r="V204" s="71"/>
      <c r="W204" s="51"/>
      <c r="X204" s="51"/>
      <c r="Y204" s="51"/>
      <c r="Z204" s="51"/>
      <c r="AA204" s="51"/>
      <c r="AB204" s="51"/>
      <c r="AC204" s="51"/>
      <c r="AD204" s="51"/>
      <c r="AE204" s="51"/>
    </row>
    <row r="205" spans="3:33" s="49" customFormat="1" ht="63" thickBot="1">
      <c r="C205" s="188" t="s">
        <v>177</v>
      </c>
      <c r="D205" s="188" t="s">
        <v>178</v>
      </c>
      <c r="E205" s="188" t="s">
        <v>179</v>
      </c>
      <c r="F205" s="188" t="s">
        <v>180</v>
      </c>
      <c r="G205" s="188" t="s">
        <v>181</v>
      </c>
      <c r="H205" s="188" t="s">
        <v>182</v>
      </c>
      <c r="I205" s="188" t="s">
        <v>183</v>
      </c>
      <c r="J205" s="188" t="s">
        <v>184</v>
      </c>
      <c r="K205" s="188" t="s">
        <v>185</v>
      </c>
      <c r="L205" s="188" t="s">
        <v>186</v>
      </c>
      <c r="M205" s="313"/>
      <c r="N205" s="188" t="s">
        <v>187</v>
      </c>
      <c r="O205" s="188" t="s">
        <v>188</v>
      </c>
      <c r="P205" s="47" t="s">
        <v>1435</v>
      </c>
      <c r="Q205" s="188"/>
      <c r="R205" s="188" t="s">
        <v>1436</v>
      </c>
      <c r="S205" s="189" t="s">
        <v>189</v>
      </c>
      <c r="T205" s="189" t="s">
        <v>1480</v>
      </c>
      <c r="U205" s="74"/>
      <c r="V205" s="71"/>
      <c r="W205" s="20" t="s">
        <v>64</v>
      </c>
      <c r="X205" s="20" t="s">
        <v>66</v>
      </c>
      <c r="Y205" s="20" t="s">
        <v>68</v>
      </c>
      <c r="Z205" s="20" t="s">
        <v>157</v>
      </c>
      <c r="AA205" s="20" t="s">
        <v>71</v>
      </c>
      <c r="AB205" s="20" t="s">
        <v>73</v>
      </c>
      <c r="AC205" s="20" t="s">
        <v>75</v>
      </c>
      <c r="AD205" s="20" t="s">
        <v>92</v>
      </c>
      <c r="AE205" s="41" t="s">
        <v>94</v>
      </c>
      <c r="AF205" s="20" t="s">
        <v>190</v>
      </c>
      <c r="AG205" s="20" t="s">
        <v>191</v>
      </c>
    </row>
    <row r="206" spans="3:33" s="51" customFormat="1" ht="18" thickBot="1">
      <c r="C206" s="285"/>
      <c r="D206" s="286"/>
      <c r="E206" s="287"/>
      <c r="F206" s="288"/>
      <c r="G206" s="289"/>
      <c r="H206" s="287"/>
      <c r="I206" s="290"/>
      <c r="J206" s="290"/>
      <c r="K206" s="338"/>
      <c r="L206" s="339"/>
      <c r="M206" s="314"/>
      <c r="N206" s="334"/>
      <c r="O206" s="340"/>
      <c r="P206" s="340"/>
      <c r="Q206" s="55"/>
      <c r="R206" s="335">
        <f>N206*(1+O206)*(1+P206)</f>
        <v>0</v>
      </c>
      <c r="S206" s="337">
        <f>IF(OR(K206&lt;&gt;0,K206&lt;&gt;""),(K206+L206)*R206,R206*(J206+L206))</f>
        <v>0</v>
      </c>
      <c r="T206" s="50" t="str">
        <f>IF(C206&lt;&gt;"",TRUE,"")</f>
        <v/>
      </c>
      <c r="U206" s="74"/>
      <c r="V206" s="72"/>
      <c r="W206" s="307"/>
      <c r="X206" s="308"/>
      <c r="Y206" s="308"/>
      <c r="Z206" s="308"/>
      <c r="AA206" s="308"/>
      <c r="AB206" s="308"/>
      <c r="AC206" s="308"/>
      <c r="AD206" s="308"/>
      <c r="AE206" s="308"/>
      <c r="AF206" s="308"/>
      <c r="AG206" s="309"/>
    </row>
    <row r="207" spans="3:33" s="49" customFormat="1" ht="18" thickBot="1">
      <c r="C207" s="285"/>
      <c r="D207" s="286"/>
      <c r="E207" s="287"/>
      <c r="F207" s="291"/>
      <c r="G207" s="289"/>
      <c r="H207" s="287"/>
      <c r="I207" s="290"/>
      <c r="J207" s="290"/>
      <c r="K207" s="338"/>
      <c r="L207" s="339"/>
      <c r="M207" s="314"/>
      <c r="N207" s="334"/>
      <c r="O207" s="340"/>
      <c r="P207" s="340"/>
      <c r="Q207" s="55"/>
      <c r="R207" s="335">
        <f t="shared" ref="R207:R219" si="7">N207*(1+O207)*(1+P207)</f>
        <v>0</v>
      </c>
      <c r="S207" s="337">
        <f t="shared" ref="S207:S220" si="8">IF(OR(K207&lt;&gt;0,K207&lt;&gt;""),(K207+L207)*R207,R207*(J207+L207))</f>
        <v>0</v>
      </c>
      <c r="T207" s="50" t="str">
        <f t="shared" ref="T207:T220" si="9">IF(C207&lt;&gt;"",TRUE,"")</f>
        <v/>
      </c>
      <c r="U207" s="74"/>
      <c r="V207" s="71"/>
      <c r="W207" s="304"/>
      <c r="X207" s="305"/>
      <c r="Y207" s="305"/>
      <c r="Z207" s="305"/>
      <c r="AA207" s="305"/>
      <c r="AB207" s="305"/>
      <c r="AC207" s="305"/>
      <c r="AD207" s="305"/>
      <c r="AE207" s="305"/>
      <c r="AF207" s="305"/>
      <c r="AG207" s="306"/>
    </row>
    <row r="208" spans="3:33" s="49" customFormat="1" ht="18" thickBot="1">
      <c r="C208" s="285"/>
      <c r="D208" s="286"/>
      <c r="E208" s="287"/>
      <c r="F208" s="288"/>
      <c r="G208" s="289"/>
      <c r="H208" s="291"/>
      <c r="I208" s="292"/>
      <c r="J208" s="292"/>
      <c r="K208" s="338"/>
      <c r="L208" s="339"/>
      <c r="M208" s="314"/>
      <c r="N208" s="334"/>
      <c r="O208" s="340"/>
      <c r="P208" s="340"/>
      <c r="Q208" s="55"/>
      <c r="R208" s="335">
        <f t="shared" si="7"/>
        <v>0</v>
      </c>
      <c r="S208" s="337">
        <f t="shared" si="8"/>
        <v>0</v>
      </c>
      <c r="T208" s="50" t="str">
        <f t="shared" si="9"/>
        <v/>
      </c>
      <c r="U208" s="74"/>
      <c r="V208" s="71"/>
      <c r="W208" s="304"/>
      <c r="X208" s="305"/>
      <c r="Y208" s="305"/>
      <c r="Z208" s="305"/>
      <c r="AA208" s="305"/>
      <c r="AB208" s="305"/>
      <c r="AC208" s="305"/>
      <c r="AD208" s="305"/>
      <c r="AE208" s="305"/>
      <c r="AF208" s="305"/>
      <c r="AG208" s="306"/>
    </row>
    <row r="209" spans="3:33" s="51" customFormat="1" ht="18" thickBot="1">
      <c r="C209" s="285"/>
      <c r="D209" s="286"/>
      <c r="E209" s="288"/>
      <c r="F209" s="288"/>
      <c r="G209" s="288"/>
      <c r="H209" s="288"/>
      <c r="I209" s="288"/>
      <c r="J209" s="288"/>
      <c r="K209" s="338"/>
      <c r="L209" s="339"/>
      <c r="M209" s="314"/>
      <c r="N209" s="334"/>
      <c r="O209" s="340"/>
      <c r="P209" s="340"/>
      <c r="Q209" s="55"/>
      <c r="R209" s="335">
        <f t="shared" si="7"/>
        <v>0</v>
      </c>
      <c r="S209" s="337">
        <f t="shared" si="8"/>
        <v>0</v>
      </c>
      <c r="T209" s="50" t="str">
        <f t="shared" si="9"/>
        <v/>
      </c>
      <c r="U209" s="74"/>
      <c r="V209" s="72"/>
      <c r="W209" s="304"/>
      <c r="X209" s="305"/>
      <c r="Y209" s="305"/>
      <c r="Z209" s="305"/>
      <c r="AA209" s="305"/>
      <c r="AB209" s="305"/>
      <c r="AC209" s="305"/>
      <c r="AD209" s="305"/>
      <c r="AE209" s="305"/>
      <c r="AF209" s="305"/>
      <c r="AG209" s="306"/>
    </row>
    <row r="210" spans="3:33" s="51" customFormat="1" ht="18" thickBot="1">
      <c r="C210" s="293"/>
      <c r="D210" s="294"/>
      <c r="E210" s="295"/>
      <c r="F210" s="295"/>
      <c r="G210" s="295"/>
      <c r="H210" s="295"/>
      <c r="I210" s="295"/>
      <c r="J210" s="295"/>
      <c r="K210" s="338"/>
      <c r="L210" s="339"/>
      <c r="M210" s="314"/>
      <c r="N210" s="334"/>
      <c r="O210" s="340"/>
      <c r="P210" s="340"/>
      <c r="Q210" s="55"/>
      <c r="R210" s="335">
        <f t="shared" si="7"/>
        <v>0</v>
      </c>
      <c r="S210" s="337">
        <f t="shared" si="8"/>
        <v>0</v>
      </c>
      <c r="T210" s="50" t="str">
        <f t="shared" si="9"/>
        <v/>
      </c>
      <c r="U210" s="74"/>
      <c r="V210" s="72"/>
      <c r="W210" s="304"/>
      <c r="X210" s="305"/>
      <c r="Y210" s="305"/>
      <c r="Z210" s="305"/>
      <c r="AA210" s="305"/>
      <c r="AB210" s="305"/>
      <c r="AC210" s="305"/>
      <c r="AD210" s="305"/>
      <c r="AE210" s="305"/>
      <c r="AF210" s="305"/>
      <c r="AG210" s="306"/>
    </row>
    <row r="211" spans="3:33" s="49" customFormat="1" ht="18" thickBot="1">
      <c r="C211" s="296"/>
      <c r="D211" s="297"/>
      <c r="E211" s="298"/>
      <c r="F211" s="299"/>
      <c r="G211" s="300"/>
      <c r="H211" s="298"/>
      <c r="I211" s="301"/>
      <c r="J211" s="301"/>
      <c r="K211" s="338"/>
      <c r="L211" s="339"/>
      <c r="M211" s="315"/>
      <c r="N211" s="334"/>
      <c r="O211" s="340"/>
      <c r="P211" s="340"/>
      <c r="Q211" s="66"/>
      <c r="R211" s="335">
        <f t="shared" si="7"/>
        <v>0</v>
      </c>
      <c r="S211" s="337">
        <f t="shared" si="8"/>
        <v>0</v>
      </c>
      <c r="T211" s="50" t="str">
        <f t="shared" si="9"/>
        <v/>
      </c>
      <c r="U211" s="74"/>
      <c r="V211" s="71"/>
      <c r="W211" s="304"/>
      <c r="X211" s="305"/>
      <c r="Y211" s="305"/>
      <c r="Z211" s="305"/>
      <c r="AA211" s="305"/>
      <c r="AB211" s="305"/>
      <c r="AC211" s="305"/>
      <c r="AD211" s="305"/>
      <c r="AE211" s="305"/>
      <c r="AF211" s="305"/>
      <c r="AG211" s="306"/>
    </row>
    <row r="212" spans="3:33" s="51" customFormat="1" ht="18" thickBot="1">
      <c r="C212" s="296"/>
      <c r="D212" s="297"/>
      <c r="E212" s="298"/>
      <c r="F212" s="299"/>
      <c r="G212" s="300"/>
      <c r="H212" s="298"/>
      <c r="I212" s="301"/>
      <c r="J212" s="301"/>
      <c r="K212" s="338"/>
      <c r="L212" s="339"/>
      <c r="M212" s="315"/>
      <c r="N212" s="334"/>
      <c r="O212" s="340"/>
      <c r="P212" s="340"/>
      <c r="Q212" s="66"/>
      <c r="R212" s="335">
        <f t="shared" si="7"/>
        <v>0</v>
      </c>
      <c r="S212" s="337">
        <f t="shared" si="8"/>
        <v>0</v>
      </c>
      <c r="T212" s="50" t="str">
        <f t="shared" si="9"/>
        <v/>
      </c>
      <c r="U212" s="74"/>
      <c r="V212" s="72"/>
      <c r="W212" s="53"/>
      <c r="X212" s="53"/>
      <c r="Y212" s="53"/>
      <c r="Z212" s="53"/>
      <c r="AA212" s="53"/>
      <c r="AB212" s="53"/>
      <c r="AC212" s="53"/>
      <c r="AD212" s="53"/>
      <c r="AE212" s="53"/>
    </row>
    <row r="213" spans="3:33" s="30" customFormat="1" ht="18" thickBot="1">
      <c r="C213" s="296"/>
      <c r="D213" s="297"/>
      <c r="E213" s="298"/>
      <c r="F213" s="299"/>
      <c r="G213" s="300"/>
      <c r="H213" s="298"/>
      <c r="I213" s="301"/>
      <c r="J213" s="301"/>
      <c r="K213" s="338"/>
      <c r="L213" s="339"/>
      <c r="M213" s="315"/>
      <c r="N213" s="334"/>
      <c r="O213" s="340"/>
      <c r="P213" s="340"/>
      <c r="Q213" s="66"/>
      <c r="R213" s="335">
        <f t="shared" si="7"/>
        <v>0</v>
      </c>
      <c r="S213" s="337">
        <f t="shared" si="8"/>
        <v>0</v>
      </c>
      <c r="T213" s="50" t="str">
        <f t="shared" si="9"/>
        <v/>
      </c>
      <c r="U213" s="74"/>
      <c r="V213" s="69"/>
    </row>
    <row r="214" spans="3:33" s="10" customFormat="1" ht="19.8" customHeight="1" thickBot="1">
      <c r="C214" s="296"/>
      <c r="D214" s="297"/>
      <c r="E214" s="298"/>
      <c r="F214" s="299"/>
      <c r="G214" s="300"/>
      <c r="H214" s="298"/>
      <c r="I214" s="301"/>
      <c r="J214" s="301"/>
      <c r="K214" s="338"/>
      <c r="L214" s="339"/>
      <c r="M214" s="315"/>
      <c r="N214" s="334"/>
      <c r="O214" s="340"/>
      <c r="P214" s="340"/>
      <c r="Q214" s="66"/>
      <c r="R214" s="335">
        <f t="shared" si="7"/>
        <v>0</v>
      </c>
      <c r="S214" s="337">
        <f t="shared" si="8"/>
        <v>0</v>
      </c>
      <c r="T214" s="50" t="str">
        <f t="shared" si="9"/>
        <v/>
      </c>
      <c r="U214" s="74"/>
      <c r="V214" s="68"/>
      <c r="W214" s="9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3:33" ht="18" thickBot="1">
      <c r="C215" s="296"/>
      <c r="D215" s="297"/>
      <c r="E215" s="298"/>
      <c r="F215" s="299"/>
      <c r="G215" s="300"/>
      <c r="H215" s="298"/>
      <c r="I215" s="301"/>
      <c r="J215" s="301"/>
      <c r="K215" s="338"/>
      <c r="L215" s="339"/>
      <c r="M215" s="315"/>
      <c r="N215" s="334"/>
      <c r="O215" s="340"/>
      <c r="P215" s="340"/>
      <c r="Q215" s="66"/>
      <c r="R215" s="335">
        <f t="shared" si="7"/>
        <v>0</v>
      </c>
      <c r="S215" s="337">
        <f t="shared" si="8"/>
        <v>0</v>
      </c>
      <c r="T215" s="50" t="str">
        <f t="shared" si="9"/>
        <v/>
      </c>
      <c r="U215" s="74"/>
      <c r="V215" s="63"/>
    </row>
    <row r="216" spans="3:33" s="30" customFormat="1" ht="24.6" customHeight="1" thickBot="1">
      <c r="C216" s="296"/>
      <c r="D216" s="297"/>
      <c r="E216" s="298"/>
      <c r="F216" s="299"/>
      <c r="G216" s="300"/>
      <c r="H216" s="298"/>
      <c r="I216" s="301"/>
      <c r="J216" s="301"/>
      <c r="K216" s="338"/>
      <c r="L216" s="339"/>
      <c r="M216" s="315"/>
      <c r="N216" s="334"/>
      <c r="O216" s="340"/>
      <c r="P216" s="340"/>
      <c r="Q216" s="66"/>
      <c r="R216" s="335">
        <f t="shared" si="7"/>
        <v>0</v>
      </c>
      <c r="S216" s="337">
        <f t="shared" si="8"/>
        <v>0</v>
      </c>
      <c r="T216" s="50" t="str">
        <f t="shared" si="9"/>
        <v/>
      </c>
      <c r="U216" s="74"/>
      <c r="V216" s="69"/>
    </row>
    <row r="217" spans="3:33" ht="18" thickBot="1">
      <c r="C217" s="296"/>
      <c r="D217" s="297"/>
      <c r="E217" s="298"/>
      <c r="F217" s="299"/>
      <c r="G217" s="300"/>
      <c r="H217" s="298"/>
      <c r="I217" s="301"/>
      <c r="J217" s="301"/>
      <c r="K217" s="338"/>
      <c r="L217" s="339"/>
      <c r="M217" s="315"/>
      <c r="N217" s="334"/>
      <c r="O217" s="340"/>
      <c r="P217" s="340"/>
      <c r="Q217" s="66"/>
      <c r="R217" s="335">
        <f t="shared" si="7"/>
        <v>0</v>
      </c>
      <c r="S217" s="337">
        <f t="shared" si="8"/>
        <v>0</v>
      </c>
      <c r="T217" s="50" t="str">
        <f t="shared" si="9"/>
        <v/>
      </c>
      <c r="U217" s="74"/>
    </row>
    <row r="218" spans="3:33" ht="18" thickBot="1">
      <c r="C218" s="296"/>
      <c r="D218" s="297"/>
      <c r="E218" s="298"/>
      <c r="F218" s="299"/>
      <c r="G218" s="300"/>
      <c r="H218" s="298"/>
      <c r="I218" s="301"/>
      <c r="J218" s="301"/>
      <c r="K218" s="338"/>
      <c r="L218" s="339"/>
      <c r="M218" s="315"/>
      <c r="N218" s="334"/>
      <c r="O218" s="340"/>
      <c r="P218" s="340"/>
      <c r="Q218" s="66"/>
      <c r="R218" s="335">
        <f t="shared" si="7"/>
        <v>0</v>
      </c>
      <c r="S218" s="337">
        <f t="shared" si="8"/>
        <v>0</v>
      </c>
      <c r="T218" s="50" t="str">
        <f t="shared" si="9"/>
        <v/>
      </c>
      <c r="U218" s="74"/>
    </row>
    <row r="219" spans="3:33" ht="18" thickBot="1">
      <c r="C219" s="296"/>
      <c r="D219" s="297"/>
      <c r="E219" s="298"/>
      <c r="F219" s="299"/>
      <c r="G219" s="300"/>
      <c r="H219" s="298"/>
      <c r="I219" s="301"/>
      <c r="J219" s="301"/>
      <c r="K219" s="338"/>
      <c r="L219" s="339"/>
      <c r="M219" s="315"/>
      <c r="N219" s="334"/>
      <c r="O219" s="340"/>
      <c r="P219" s="340"/>
      <c r="Q219" s="66"/>
      <c r="R219" s="335">
        <f t="shared" si="7"/>
        <v>0</v>
      </c>
      <c r="S219" s="337">
        <f t="shared" si="8"/>
        <v>0</v>
      </c>
      <c r="T219" s="50" t="str">
        <f t="shared" si="9"/>
        <v/>
      </c>
      <c r="U219" s="74"/>
    </row>
    <row r="220" spans="3:33" ht="18" thickBot="1">
      <c r="C220" s="296"/>
      <c r="D220" s="297"/>
      <c r="E220" s="298"/>
      <c r="F220" s="299"/>
      <c r="G220" s="300"/>
      <c r="H220" s="298"/>
      <c r="I220" s="301"/>
      <c r="J220" s="301"/>
      <c r="K220" s="338"/>
      <c r="L220" s="339"/>
      <c r="M220" s="315"/>
      <c r="N220" s="334"/>
      <c r="O220" s="340"/>
      <c r="P220" s="340"/>
      <c r="Q220" s="66"/>
      <c r="R220" s="335">
        <f>N220*(1+O220)*(1+P220)</f>
        <v>0</v>
      </c>
      <c r="S220" s="337">
        <f t="shared" si="8"/>
        <v>0</v>
      </c>
      <c r="T220" s="50" t="str">
        <f t="shared" si="9"/>
        <v/>
      </c>
      <c r="U220" s="75"/>
    </row>
  </sheetData>
  <mergeCells count="9">
    <mergeCell ref="K35:N35"/>
    <mergeCell ref="K39:N39"/>
    <mergeCell ref="O32:P32"/>
    <mergeCell ref="D17:E17"/>
    <mergeCell ref="G17:H17"/>
    <mergeCell ref="K17:R17"/>
    <mergeCell ref="O19:P19"/>
    <mergeCell ref="O22:P22"/>
    <mergeCell ref="K29:N29"/>
  </mergeCells>
  <conditionalFormatting sqref="J207:J65526">
    <cfRule type="containsText" dxfId="2" priority="1" stopIfTrue="1" operator="containsText" text="Treatment">
      <formula>NOT(ISERROR(SEARCH("Treatment",J207)))</formula>
    </cfRule>
  </conditionalFormatting>
  <conditionalFormatting sqref="U9:V13 J14 L14 I16 I49 I52:I201 J52:J204">
    <cfRule type="containsText" dxfId="1" priority="2" stopIfTrue="1" operator="containsText" text="Treatment">
      <formula>NOT(ISERROR(SEARCH("Treatment",I9)))</formula>
    </cfRule>
  </conditionalFormatting>
  <pageMargins left="0.7" right="0.7" top="0.75" bottom="0.75" header="0.3" footer="0.3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>
          <x14:formula1>
            <xm:f>'Data Validation'!$A$2:$A$7</xm:f>
          </x14:formula1>
          <xm:sqref>C206:C220</xm:sqref>
        </x14:dataValidation>
        <x14:dataValidation type="list" allowBlank="1" showInputMessage="1" showErrorMessage="1">
          <x14:formula1>
            <xm:f>'Data Validation'!$L$2:$L$7</xm:f>
          </x14:formula1>
          <xm:sqref>E19</xm:sqref>
        </x14:dataValidation>
        <x14:dataValidation type="list" allowBlank="1" showInputMessage="1" showErrorMessage="1">
          <x14:formula1>
            <xm:f>'Data Validation'!$K$2:$K$20</xm:f>
          </x14:formula1>
          <xm:sqref>E20</xm:sqref>
        </x14:dataValidation>
        <x14:dataValidation type="list" allowBlank="1" showInputMessage="1" showErrorMessage="1">
          <x14:formula1>
            <xm:f>'Data Validation'!$G$2:$G$4</xm:f>
          </x14:formula1>
          <xm:sqref>P28</xm:sqref>
        </x14:dataValidation>
        <x14:dataValidation type="list" allowBlank="1" showInputMessage="1" showErrorMessage="1">
          <x14:formula1>
            <xm:f>'Data Validation'!$E$2:$E$17</xm:f>
          </x14:formula1>
          <xm:sqref>P25</xm:sqref>
        </x14:dataValidation>
        <x14:dataValidation type="list" allowBlank="1" showInputMessage="1" showErrorMessage="1">
          <x14:formula1>
            <xm:f>'Data Validation'!$H$2:$H$5</xm:f>
          </x14:formula1>
          <xm:sqref>P30</xm:sqref>
        </x14:dataValidation>
        <x14:dataValidation type="list" allowBlank="1" showInputMessage="1" showErrorMessage="1">
          <x14:formula1>
            <xm:f>'Data Validation'!$I$2:$I$3</xm:f>
          </x14:formula1>
          <xm:sqref>P31</xm:sqref>
        </x14:dataValidation>
        <x14:dataValidation type="list" allowBlank="1" showInputMessage="1" showErrorMessage="1">
          <x14:formula1>
            <xm:f>'Data Validation'!$F$2:$F$5</xm:f>
          </x14:formula1>
          <xm:sqref>P26</xm:sqref>
        </x14:dataValidation>
        <x14:dataValidation type="list" allowBlank="1" showInputMessage="1" showErrorMessage="1">
          <x14:formula1>
            <xm:f>'Data Validation'!$D$2:$D$5</xm:f>
          </x14:formula1>
          <xm:sqref>P23:P24</xm:sqref>
        </x14:dataValidation>
        <x14:dataValidation type="list" allowBlank="1" showInputMessage="1" showErrorMessage="1">
          <x14:formula1>
            <xm:f>'Data Validation'!$C$2:$C$3</xm:f>
          </x14:formula1>
          <xm:sqref>L43</xm:sqref>
        </x14:dataValidation>
        <x14:dataValidation type="list" allowBlank="1" showInputMessage="1" showErrorMessage="1">
          <x14:formula1>
            <xm:f>'Data Validation'!$B$2:$B$5</xm:f>
          </x14:formula1>
          <xm:sqref>L28</xm:sqref>
        </x14:dataValidation>
        <x14:dataValidation type="list" allowBlank="1" showInputMessage="1" showErrorMessage="1">
          <x14:formula1>
            <xm:f>'Data Validation'!$J$2:$J$15</xm:f>
          </x14:formula1>
          <xm:sqref>D7</xm:sqref>
        </x14:dataValidation>
        <x14:dataValidation type="list" allowBlank="1" showInputMessage="1" showErrorMessage="1">
          <x14:formula1>
            <xm:f>'Data Validation'!$N$2:$N$6</xm:f>
          </x14:formula1>
          <xm:sqref>J11</xm:sqref>
        </x14:dataValidation>
        <x14:dataValidation type="list" allowBlank="1" showInputMessage="1" showErrorMessage="1">
          <x14:formula1>
            <xm:f>'Data Validation'!$O$2:$O$7</xm:f>
          </x14:formula1>
          <xm:sqref>L24</xm:sqref>
        </x14:dataValidation>
        <x14:dataValidation type="list" allowBlank="1" showInputMessage="1" showErrorMessage="1">
          <x14:formula1>
            <xm:f>'Data Validation'!$P$2:$P$3</xm:f>
          </x14:formula1>
          <xm:sqref>P27</xm:sqref>
        </x14:dataValidation>
        <x14:dataValidation type="list" allowBlank="1" showInputMessage="1" showErrorMessage="1">
          <x14:formula1>
            <xm:f>'Data Validation'!$A$2:$A$15</xm:f>
          </x14:formula1>
          <xm:sqref>C51:C201</xm:sqref>
        </x14:dataValidation>
        <x14:dataValidation type="list" allowBlank="1" showInputMessage="1" showErrorMessage="1">
          <x14:formula1>
            <xm:f>'Data Validation'!$Q$2:$Q$105</xm:f>
          </x14:formula1>
          <xm:sqref>E21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Q36"/>
  <sheetViews>
    <sheetView workbookViewId="0">
      <selection activeCell="B13" sqref="B13"/>
    </sheetView>
  </sheetViews>
  <sheetFormatPr defaultColWidth="8.88671875" defaultRowHeight="14.4"/>
  <cols>
    <col min="1" max="1" width="10.44140625" bestFit="1" customWidth="1"/>
    <col min="2" max="2" width="29" bestFit="1" customWidth="1"/>
    <col min="3" max="3" width="21" bestFit="1" customWidth="1"/>
    <col min="4" max="4" width="28.44140625" bestFit="1" customWidth="1"/>
    <col min="5" max="5" width="35.44140625" bestFit="1" customWidth="1"/>
    <col min="6" max="6" width="17.88671875" bestFit="1" customWidth="1"/>
    <col min="7" max="7" width="19" bestFit="1" customWidth="1"/>
    <col min="8" max="8" width="33.44140625" bestFit="1" customWidth="1"/>
    <col min="9" max="9" width="16.88671875" bestFit="1" customWidth="1"/>
    <col min="10" max="10" width="22" bestFit="1" customWidth="1"/>
    <col min="11" max="11" width="9.88671875" bestFit="1" customWidth="1"/>
    <col min="12" max="12" width="26.33203125" bestFit="1" customWidth="1"/>
    <col min="13" max="13" width="12.33203125" bestFit="1" customWidth="1"/>
    <col min="15" max="15" width="18.44140625" bestFit="1" customWidth="1"/>
  </cols>
  <sheetData>
    <row r="1" spans="1:17" ht="46.8">
      <c r="A1" s="57" t="s">
        <v>177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53</v>
      </c>
      <c r="K1" s="232" t="s">
        <v>113</v>
      </c>
      <c r="L1" s="235" t="s">
        <v>0</v>
      </c>
      <c r="M1" s="236" t="s">
        <v>115</v>
      </c>
      <c r="N1" s="236" t="s">
        <v>1439</v>
      </c>
      <c r="O1" s="236" t="s">
        <v>1446</v>
      </c>
      <c r="P1" s="322" t="s">
        <v>1450</v>
      </c>
      <c r="Q1" s="322" t="s">
        <v>114</v>
      </c>
    </row>
    <row r="2" spans="1:17" ht="15.6">
      <c r="A2" s="58" t="s">
        <v>1481</v>
      </c>
      <c r="B2" s="58" t="s">
        <v>10</v>
      </c>
      <c r="C2" s="58" t="s">
        <v>11</v>
      </c>
      <c r="D2" s="59" t="s">
        <v>12</v>
      </c>
      <c r="E2" s="59" t="s">
        <v>13</v>
      </c>
      <c r="F2" s="59" t="s">
        <v>10</v>
      </c>
      <c r="G2" s="59" t="s">
        <v>14</v>
      </c>
      <c r="H2" s="59" t="s">
        <v>15</v>
      </c>
      <c r="I2" s="59" t="s">
        <v>16</v>
      </c>
      <c r="J2" s="231" t="s">
        <v>1484</v>
      </c>
      <c r="K2" s="231" t="s">
        <v>1485</v>
      </c>
      <c r="L2" s="234" t="s">
        <v>9</v>
      </c>
      <c r="M2" s="231"/>
      <c r="N2" s="316" t="s">
        <v>1440</v>
      </c>
      <c r="O2" s="59" t="s">
        <v>1453</v>
      </c>
      <c r="P2" s="59" t="s">
        <v>11</v>
      </c>
      <c r="Q2" t="s">
        <v>1506</v>
      </c>
    </row>
    <row r="3" spans="1:17" ht="15.6">
      <c r="A3" s="58" t="s">
        <v>6</v>
      </c>
      <c r="B3" s="59" t="s">
        <v>18</v>
      </c>
      <c r="C3" s="58" t="s">
        <v>19</v>
      </c>
      <c r="D3" s="59" t="s">
        <v>20</v>
      </c>
      <c r="E3" s="59" t="s">
        <v>21</v>
      </c>
      <c r="F3" s="59" t="s">
        <v>22</v>
      </c>
      <c r="G3" s="59" t="s">
        <v>23</v>
      </c>
      <c r="H3" s="59" t="s">
        <v>24</v>
      </c>
      <c r="I3" s="59" t="s">
        <v>25</v>
      </c>
      <c r="J3" s="231"/>
      <c r="K3" s="231"/>
      <c r="L3" s="234" t="s">
        <v>17</v>
      </c>
      <c r="M3" s="231"/>
      <c r="N3" s="316" t="s">
        <v>1441</v>
      </c>
      <c r="O3" s="59" t="s">
        <v>1455</v>
      </c>
      <c r="P3" s="59" t="s">
        <v>19</v>
      </c>
    </row>
    <row r="4" spans="1:17" ht="15.6">
      <c r="A4" s="58" t="s">
        <v>1482</v>
      </c>
      <c r="B4" s="59" t="s">
        <v>27</v>
      </c>
      <c r="C4" s="58"/>
      <c r="D4" s="59" t="s">
        <v>28</v>
      </c>
      <c r="E4" s="59" t="s">
        <v>29</v>
      </c>
      <c r="F4" s="59" t="s">
        <v>30</v>
      </c>
      <c r="G4" s="59" t="s">
        <v>31</v>
      </c>
      <c r="H4" s="59" t="s">
        <v>32</v>
      </c>
      <c r="I4" s="58"/>
      <c r="J4" s="231"/>
      <c r="K4" s="231"/>
      <c r="L4" s="234" t="s">
        <v>26</v>
      </c>
      <c r="M4" s="231"/>
      <c r="N4" s="316" t="s">
        <v>1442</v>
      </c>
      <c r="O4" s="59" t="s">
        <v>1457</v>
      </c>
      <c r="P4" s="59"/>
    </row>
    <row r="5" spans="1:17" ht="15.6">
      <c r="A5" s="58" t="s">
        <v>192</v>
      </c>
      <c r="B5" s="59" t="s">
        <v>34</v>
      </c>
      <c r="C5" s="60"/>
      <c r="D5" s="60" t="s">
        <v>35</v>
      </c>
      <c r="E5" s="59" t="s">
        <v>36</v>
      </c>
      <c r="F5" s="59" t="s">
        <v>37</v>
      </c>
      <c r="G5" s="59"/>
      <c r="H5" s="60" t="s">
        <v>38</v>
      </c>
      <c r="I5" s="60"/>
      <c r="J5" s="231"/>
      <c r="K5" s="231"/>
      <c r="L5" s="234" t="s">
        <v>33</v>
      </c>
      <c r="M5" s="231"/>
      <c r="N5" s="316" t="s">
        <v>1443</v>
      </c>
      <c r="O5" s="59" t="s">
        <v>1459</v>
      </c>
      <c r="P5" s="59"/>
    </row>
    <row r="6" spans="1:17" ht="15.6">
      <c r="A6" s="58" t="s">
        <v>1483</v>
      </c>
      <c r="B6" s="58"/>
      <c r="C6" s="58"/>
      <c r="D6" s="58"/>
      <c r="E6" s="58" t="s">
        <v>40</v>
      </c>
      <c r="F6" s="58"/>
      <c r="G6" s="58"/>
      <c r="H6" s="58"/>
      <c r="I6" s="58"/>
      <c r="J6" s="231"/>
      <c r="K6" s="231"/>
      <c r="L6" s="234" t="s">
        <v>39</v>
      </c>
      <c r="M6" s="231"/>
      <c r="N6" s="316" t="s">
        <v>1444</v>
      </c>
      <c r="O6" s="59" t="s">
        <v>1461</v>
      </c>
      <c r="P6" s="59"/>
    </row>
    <row r="7" spans="1:17" ht="15.6">
      <c r="A7" s="58" t="s">
        <v>8</v>
      </c>
      <c r="B7" s="58"/>
      <c r="C7" s="58"/>
      <c r="D7" s="58"/>
      <c r="E7" s="58" t="s">
        <v>42</v>
      </c>
      <c r="F7" s="58"/>
      <c r="G7" s="58"/>
      <c r="H7" s="58"/>
      <c r="I7" s="58"/>
      <c r="J7" s="231"/>
      <c r="K7" s="231"/>
      <c r="L7" s="234" t="s">
        <v>41</v>
      </c>
      <c r="M7" s="231"/>
      <c r="N7" s="316"/>
      <c r="O7" s="59" t="s">
        <v>1463</v>
      </c>
      <c r="P7" s="59"/>
    </row>
    <row r="8" spans="1:17" ht="15.6">
      <c r="A8" s="58"/>
      <c r="B8" s="58"/>
      <c r="C8" s="58"/>
      <c r="D8" s="58"/>
      <c r="E8" s="58" t="s">
        <v>43</v>
      </c>
      <c r="F8" s="58"/>
      <c r="G8" s="58"/>
      <c r="H8" s="58"/>
      <c r="I8" s="58"/>
      <c r="J8" s="58"/>
      <c r="K8" s="58"/>
      <c r="L8" s="58"/>
      <c r="M8" s="58"/>
      <c r="N8" s="317"/>
      <c r="O8" s="59"/>
      <c r="P8" s="59"/>
    </row>
    <row r="9" spans="1:17" ht="15.6">
      <c r="A9" s="58"/>
      <c r="B9" s="58"/>
      <c r="C9" s="58"/>
      <c r="D9" s="58"/>
      <c r="E9" s="58" t="s">
        <v>44</v>
      </c>
      <c r="F9" s="58"/>
      <c r="G9" s="58"/>
      <c r="H9" s="58"/>
      <c r="I9" s="58"/>
      <c r="J9" s="58"/>
      <c r="K9" s="58"/>
      <c r="L9" s="58"/>
      <c r="M9" s="58"/>
      <c r="N9" s="317"/>
      <c r="O9" s="59"/>
      <c r="P9" s="59"/>
    </row>
    <row r="10" spans="1:17" ht="15.6">
      <c r="A10" s="58"/>
      <c r="B10" s="58"/>
      <c r="C10" s="58"/>
      <c r="D10" s="58"/>
      <c r="E10" s="58" t="s">
        <v>45</v>
      </c>
      <c r="F10" s="58"/>
      <c r="G10" s="58"/>
      <c r="H10" s="58"/>
      <c r="I10" s="58"/>
      <c r="J10" s="58"/>
      <c r="K10" s="58"/>
      <c r="L10" s="58"/>
      <c r="M10" s="58"/>
      <c r="N10" s="317"/>
      <c r="O10" s="59"/>
      <c r="P10" s="59"/>
    </row>
    <row r="11" spans="1:17" ht="15.6">
      <c r="A11" s="58"/>
      <c r="B11" s="58"/>
      <c r="C11" s="58"/>
      <c r="D11" s="58"/>
      <c r="E11" s="58" t="s">
        <v>46</v>
      </c>
      <c r="F11" s="58"/>
      <c r="G11" s="58"/>
      <c r="H11" s="58"/>
      <c r="I11" s="58"/>
      <c r="J11" s="58"/>
      <c r="K11" s="58"/>
      <c r="L11" s="58"/>
      <c r="M11" s="58"/>
      <c r="N11" s="317"/>
      <c r="O11" s="59"/>
      <c r="P11" s="59"/>
    </row>
    <row r="12" spans="1:17" ht="15.6">
      <c r="A12" s="58"/>
      <c r="B12" s="58"/>
      <c r="C12" s="58"/>
      <c r="D12" s="58"/>
      <c r="E12" s="58" t="s">
        <v>47</v>
      </c>
      <c r="F12" s="58"/>
      <c r="G12" s="58"/>
      <c r="H12" s="58"/>
      <c r="I12" s="58"/>
      <c r="J12" s="58"/>
      <c r="K12" s="58"/>
      <c r="L12" s="58"/>
      <c r="M12" s="58"/>
      <c r="N12" s="317"/>
      <c r="O12" s="59"/>
      <c r="P12" s="59"/>
    </row>
    <row r="13" spans="1:17" ht="15.6">
      <c r="A13" s="58"/>
      <c r="B13" s="58"/>
      <c r="C13" s="58"/>
      <c r="D13" s="58"/>
      <c r="E13" s="58" t="s">
        <v>48</v>
      </c>
      <c r="F13" s="58"/>
      <c r="G13" s="58"/>
      <c r="H13" s="58"/>
      <c r="I13" s="58"/>
      <c r="J13" s="58"/>
      <c r="K13" s="58"/>
      <c r="L13" s="58"/>
      <c r="M13" s="58"/>
      <c r="N13" s="317"/>
      <c r="O13" s="59"/>
      <c r="P13" s="59"/>
    </row>
    <row r="14" spans="1:17" ht="15.6">
      <c r="A14" s="58"/>
      <c r="B14" s="58"/>
      <c r="C14" s="58"/>
      <c r="D14" s="58"/>
      <c r="E14" s="58" t="s">
        <v>49</v>
      </c>
      <c r="F14" s="58"/>
      <c r="G14" s="58"/>
      <c r="H14" s="58"/>
      <c r="I14" s="58"/>
      <c r="J14" s="58"/>
      <c r="K14" s="58"/>
      <c r="L14" s="58"/>
      <c r="M14" s="58"/>
      <c r="N14" s="317"/>
      <c r="O14" s="59"/>
      <c r="P14" s="59"/>
    </row>
    <row r="15" spans="1:17" ht="15.6">
      <c r="A15" s="58"/>
      <c r="B15" s="58"/>
      <c r="C15" s="58"/>
      <c r="D15" s="58"/>
      <c r="E15" s="58" t="s">
        <v>50</v>
      </c>
      <c r="F15" s="58"/>
      <c r="G15" s="58"/>
      <c r="H15" s="58"/>
      <c r="I15" s="58"/>
      <c r="J15" s="58"/>
      <c r="K15" s="58"/>
      <c r="L15" s="58"/>
      <c r="M15" s="58"/>
      <c r="N15" s="317"/>
      <c r="O15" s="59"/>
      <c r="P15" s="59"/>
    </row>
    <row r="16" spans="1:17" ht="15.6">
      <c r="A16" s="58"/>
      <c r="B16" s="58"/>
      <c r="C16" s="58"/>
      <c r="D16" s="58"/>
      <c r="E16" s="58" t="s">
        <v>51</v>
      </c>
      <c r="F16" s="58"/>
      <c r="G16" s="58"/>
      <c r="H16" s="58"/>
      <c r="I16" s="58"/>
      <c r="J16" s="58"/>
      <c r="K16" s="58"/>
      <c r="L16" s="58"/>
      <c r="M16" s="58"/>
      <c r="N16" s="317"/>
      <c r="O16" s="59"/>
      <c r="P16" s="59"/>
    </row>
    <row r="17" spans="1:16" ht="15.6">
      <c r="A17" s="58"/>
      <c r="B17" s="58"/>
      <c r="C17" s="58"/>
      <c r="D17" s="61"/>
      <c r="E17" s="58" t="s">
        <v>52</v>
      </c>
      <c r="F17" s="58"/>
      <c r="G17" s="58"/>
      <c r="H17" s="58"/>
      <c r="I17" s="58"/>
      <c r="J17" s="58"/>
      <c r="K17" s="58"/>
      <c r="L17" s="58"/>
      <c r="M17" s="58"/>
      <c r="N17" s="317"/>
      <c r="O17" s="59"/>
      <c r="P17" s="59"/>
    </row>
    <row r="18" spans="1:16" ht="15.6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17"/>
      <c r="O18" s="59"/>
      <c r="P18" s="59"/>
    </row>
    <row r="19" spans="1:16" ht="15.6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317"/>
      <c r="O19" s="59"/>
      <c r="P19" s="59"/>
    </row>
    <row r="20" spans="1:16" ht="15.6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317"/>
      <c r="O20" s="59"/>
      <c r="P20" s="59"/>
    </row>
    <row r="21" spans="1:16" ht="15.6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317"/>
      <c r="O21" s="59"/>
      <c r="P21" s="59"/>
    </row>
    <row r="22" spans="1:16" ht="15.6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317"/>
      <c r="O22" s="59"/>
      <c r="P22" s="59"/>
    </row>
    <row r="23" spans="1:16" ht="15.6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317"/>
      <c r="O23" s="59"/>
      <c r="P23" s="59"/>
    </row>
    <row r="24" spans="1:16" ht="15.6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317"/>
      <c r="O24" s="59"/>
      <c r="P24" s="59"/>
    </row>
    <row r="25" spans="1:16" ht="15.6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17"/>
      <c r="O25" s="59"/>
      <c r="P25" s="59"/>
    </row>
    <row r="26" spans="1:16" ht="15.6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317"/>
      <c r="O26" s="59"/>
      <c r="P26" s="59"/>
    </row>
    <row r="27" spans="1:16" ht="15.6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317"/>
      <c r="O27" s="59"/>
      <c r="P27" s="59"/>
    </row>
    <row r="28" spans="1:16" ht="15.6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317"/>
      <c r="O28" s="59"/>
      <c r="P28" s="59"/>
    </row>
    <row r="29" spans="1:16" ht="15.6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317"/>
      <c r="O29" s="59"/>
      <c r="P29" s="59"/>
    </row>
    <row r="30" spans="1:16" ht="15.6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317"/>
      <c r="O30" s="59"/>
      <c r="P30" s="59"/>
    </row>
    <row r="31" spans="1:16" ht="15.6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317"/>
      <c r="O31" s="59"/>
      <c r="P31" s="59"/>
    </row>
    <row r="32" spans="1:16" ht="15.6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317"/>
      <c r="O32" s="59"/>
      <c r="P32" s="59"/>
    </row>
    <row r="33" spans="1:16" ht="15.6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317"/>
      <c r="O33" s="59"/>
      <c r="P33" s="59"/>
    </row>
    <row r="34" spans="1:16" ht="15.6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317"/>
      <c r="O34" s="59"/>
      <c r="P34" s="59"/>
    </row>
    <row r="35" spans="1:16" ht="15.6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317"/>
      <c r="O35" s="59"/>
      <c r="P35" s="59"/>
    </row>
    <row r="36" spans="1:16" ht="15.6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317"/>
      <c r="O36" s="59"/>
      <c r="P36" s="59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E1219"/>
  <sheetViews>
    <sheetView zoomScale="80" zoomScaleNormal="80" workbookViewId="0">
      <pane ySplit="1" topLeftCell="A2" activePane="bottomLeft" state="frozen"/>
      <selection pane="bottomLeft" activeCell="A345" sqref="A345"/>
    </sheetView>
  </sheetViews>
  <sheetFormatPr defaultColWidth="8.88671875" defaultRowHeight="13.2"/>
  <cols>
    <col min="1" max="1" width="36.88671875" style="2" bestFit="1" customWidth="1"/>
    <col min="2" max="2" width="23.6640625" style="2" bestFit="1" customWidth="1"/>
    <col min="3" max="3" width="45.44140625" style="2" bestFit="1" customWidth="1"/>
    <col min="4" max="4" width="32.44140625" style="3" bestFit="1" customWidth="1"/>
    <col min="5" max="5" width="12.44140625" style="13" customWidth="1"/>
    <col min="6" max="16384" width="8.88671875" style="2"/>
  </cols>
  <sheetData>
    <row r="1" spans="1:5" s="14" customFormat="1" ht="31.8" thickBot="1">
      <c r="A1" s="15" t="s">
        <v>194</v>
      </c>
      <c r="B1" s="15" t="s">
        <v>195</v>
      </c>
      <c r="C1" s="15" t="s">
        <v>196</v>
      </c>
      <c r="D1" s="15" t="s">
        <v>197</v>
      </c>
      <c r="E1" s="24" t="s">
        <v>198</v>
      </c>
    </row>
    <row r="2" spans="1:5">
      <c r="A2" s="3" t="s">
        <v>199</v>
      </c>
      <c r="B2" s="11" t="s">
        <v>112</v>
      </c>
      <c r="C2" s="11" t="s">
        <v>107</v>
      </c>
      <c r="D2" s="12">
        <v>0</v>
      </c>
      <c r="E2" s="13">
        <v>0</v>
      </c>
    </row>
    <row r="3" spans="1:5">
      <c r="A3" s="3" t="s">
        <v>200</v>
      </c>
      <c r="B3" s="11" t="s">
        <v>112</v>
      </c>
      <c r="C3" s="11" t="s">
        <v>107</v>
      </c>
      <c r="D3" s="12">
        <v>1</v>
      </c>
      <c r="E3" s="13">
        <v>2.5236051502145922</v>
      </c>
    </row>
    <row r="4" spans="1:5">
      <c r="A4" s="3" t="s">
        <v>201</v>
      </c>
      <c r="B4" s="11" t="s">
        <v>112</v>
      </c>
      <c r="C4" s="11" t="s">
        <v>107</v>
      </c>
      <c r="D4" s="12">
        <v>2</v>
      </c>
      <c r="E4" s="13">
        <v>5.0729613733905579</v>
      </c>
    </row>
    <row r="5" spans="1:5">
      <c r="A5" s="3" t="s">
        <v>202</v>
      </c>
      <c r="B5" s="11" t="s">
        <v>112</v>
      </c>
      <c r="C5" s="11" t="s">
        <v>107</v>
      </c>
      <c r="D5" s="12">
        <v>3</v>
      </c>
      <c r="E5" s="13">
        <v>7.5965665236051505</v>
      </c>
    </row>
    <row r="6" spans="1:5">
      <c r="A6" s="3" t="s">
        <v>203</v>
      </c>
      <c r="B6" s="11" t="s">
        <v>112</v>
      </c>
      <c r="C6" s="11" t="s">
        <v>107</v>
      </c>
      <c r="D6" s="12">
        <v>4</v>
      </c>
      <c r="E6" s="13">
        <v>10.120171673819744</v>
      </c>
    </row>
    <row r="7" spans="1:5">
      <c r="A7" s="3" t="s">
        <v>204</v>
      </c>
      <c r="B7" s="11" t="s">
        <v>112</v>
      </c>
      <c r="C7" s="11" t="s">
        <v>107</v>
      </c>
      <c r="D7" s="12">
        <v>5</v>
      </c>
      <c r="E7" s="13">
        <v>12.669527896995708</v>
      </c>
    </row>
    <row r="8" spans="1:5">
      <c r="A8" s="3" t="s">
        <v>205</v>
      </c>
      <c r="B8" s="11" t="s">
        <v>112</v>
      </c>
      <c r="C8" s="11" t="s">
        <v>107</v>
      </c>
      <c r="D8" s="12">
        <v>6</v>
      </c>
      <c r="E8" s="13">
        <v>15.201716738197415</v>
      </c>
    </row>
    <row r="9" spans="1:5">
      <c r="A9" s="3" t="s">
        <v>206</v>
      </c>
      <c r="B9" s="11" t="s">
        <v>112</v>
      </c>
      <c r="C9" s="11" t="s">
        <v>107</v>
      </c>
      <c r="D9" s="12">
        <v>7</v>
      </c>
      <c r="E9" s="13">
        <v>17.716738197424892</v>
      </c>
    </row>
    <row r="10" spans="1:5">
      <c r="A10" s="3" t="s">
        <v>207</v>
      </c>
      <c r="B10" s="11" t="s">
        <v>112</v>
      </c>
      <c r="C10" s="11" t="s">
        <v>107</v>
      </c>
      <c r="D10" s="12">
        <v>8</v>
      </c>
      <c r="E10" s="13">
        <v>20.274678111587978</v>
      </c>
    </row>
    <row r="11" spans="1:5">
      <c r="A11" s="3" t="s">
        <v>208</v>
      </c>
      <c r="B11" s="11" t="s">
        <v>112</v>
      </c>
      <c r="C11" s="11" t="s">
        <v>107</v>
      </c>
      <c r="D11" s="12">
        <v>9</v>
      </c>
      <c r="E11" s="13">
        <v>22.789699570815451</v>
      </c>
    </row>
    <row r="12" spans="1:5">
      <c r="A12" s="3" t="s">
        <v>209</v>
      </c>
      <c r="B12" s="11" t="s">
        <v>112</v>
      </c>
      <c r="C12" s="11" t="s">
        <v>107</v>
      </c>
      <c r="D12" s="12">
        <v>10</v>
      </c>
      <c r="E12" s="13">
        <v>25.313304721030043</v>
      </c>
    </row>
    <row r="13" spans="1:5">
      <c r="A13" s="3" t="s">
        <v>210</v>
      </c>
      <c r="B13" s="11" t="s">
        <v>211</v>
      </c>
      <c r="C13" s="11" t="s">
        <v>212</v>
      </c>
      <c r="D13" s="12" t="s">
        <v>213</v>
      </c>
      <c r="E13" s="13">
        <v>0</v>
      </c>
    </row>
    <row r="14" spans="1:5">
      <c r="A14" s="3" t="s">
        <v>214</v>
      </c>
      <c r="B14" s="11" t="s">
        <v>211</v>
      </c>
      <c r="C14" s="11" t="s">
        <v>212</v>
      </c>
      <c r="D14" s="12">
        <v>1</v>
      </c>
      <c r="E14" s="13">
        <v>0.38626609442060089</v>
      </c>
    </row>
    <row r="15" spans="1:5">
      <c r="A15" s="3" t="s">
        <v>215</v>
      </c>
      <c r="B15" s="11" t="s">
        <v>211</v>
      </c>
      <c r="C15" s="11" t="s">
        <v>212</v>
      </c>
      <c r="D15" s="12">
        <v>2</v>
      </c>
      <c r="E15" s="13">
        <v>0.77253218884120178</v>
      </c>
    </row>
    <row r="16" spans="1:5">
      <c r="A16" s="3" t="s">
        <v>216</v>
      </c>
      <c r="B16" s="11" t="s">
        <v>211</v>
      </c>
      <c r="C16" s="11" t="s">
        <v>212</v>
      </c>
      <c r="D16" s="12">
        <v>3</v>
      </c>
      <c r="E16" s="13">
        <v>1.1587982832618027</v>
      </c>
    </row>
    <row r="17" spans="1:5">
      <c r="A17" s="3" t="s">
        <v>217</v>
      </c>
      <c r="B17" s="11" t="s">
        <v>211</v>
      </c>
      <c r="C17" s="11" t="s">
        <v>212</v>
      </c>
      <c r="D17" s="12">
        <v>4</v>
      </c>
      <c r="E17" s="13">
        <v>1.5450643776824036</v>
      </c>
    </row>
    <row r="18" spans="1:5">
      <c r="A18" s="3" t="s">
        <v>218</v>
      </c>
      <c r="B18" s="11" t="s">
        <v>211</v>
      </c>
      <c r="C18" s="11" t="s">
        <v>212</v>
      </c>
      <c r="D18" s="12">
        <v>5</v>
      </c>
      <c r="E18" s="13">
        <v>1.9313304721030045</v>
      </c>
    </row>
    <row r="19" spans="1:5">
      <c r="A19" s="3" t="s">
        <v>219</v>
      </c>
      <c r="B19" s="11" t="s">
        <v>211</v>
      </c>
      <c r="C19" s="11" t="s">
        <v>212</v>
      </c>
      <c r="D19" s="12">
        <v>6</v>
      </c>
      <c r="E19" s="13">
        <v>2.3175965665236054</v>
      </c>
    </row>
    <row r="20" spans="1:5">
      <c r="A20" s="3" t="s">
        <v>220</v>
      </c>
      <c r="B20" s="11" t="s">
        <v>211</v>
      </c>
      <c r="C20" s="11" t="s">
        <v>212</v>
      </c>
      <c r="D20" s="12">
        <v>7</v>
      </c>
      <c r="E20" s="13">
        <v>2.703862660944206</v>
      </c>
    </row>
    <row r="21" spans="1:5">
      <c r="A21" s="3" t="s">
        <v>221</v>
      </c>
      <c r="B21" s="11" t="s">
        <v>211</v>
      </c>
      <c r="C21" s="11" t="s">
        <v>212</v>
      </c>
      <c r="D21" s="12">
        <v>8</v>
      </c>
      <c r="E21" s="13">
        <v>3.0901287553648071</v>
      </c>
    </row>
    <row r="22" spans="1:5">
      <c r="A22" s="3" t="s">
        <v>222</v>
      </c>
      <c r="B22" s="11" t="s">
        <v>211</v>
      </c>
      <c r="C22" s="11" t="s">
        <v>212</v>
      </c>
      <c r="D22" s="12">
        <v>9</v>
      </c>
      <c r="E22" s="13">
        <v>3.4763948497854082</v>
      </c>
    </row>
    <row r="23" spans="1:5">
      <c r="A23" s="3" t="s">
        <v>223</v>
      </c>
      <c r="B23" s="11" t="s">
        <v>211</v>
      </c>
      <c r="C23" s="11" t="s">
        <v>212</v>
      </c>
      <c r="D23" s="12">
        <v>10</v>
      </c>
      <c r="E23" s="13">
        <v>3.8626609442060089</v>
      </c>
    </row>
    <row r="24" spans="1:5">
      <c r="A24" s="3" t="s">
        <v>224</v>
      </c>
      <c r="B24" s="11" t="s">
        <v>211</v>
      </c>
      <c r="C24" s="11" t="s">
        <v>212</v>
      </c>
      <c r="D24" s="12">
        <v>11</v>
      </c>
      <c r="E24" s="13">
        <v>4.2489270386266096</v>
      </c>
    </row>
    <row r="25" spans="1:5">
      <c r="A25" s="3" t="s">
        <v>225</v>
      </c>
      <c r="B25" s="11" t="s">
        <v>211</v>
      </c>
      <c r="C25" s="11" t="s">
        <v>212</v>
      </c>
      <c r="D25" s="12">
        <v>12</v>
      </c>
      <c r="E25" s="13">
        <v>4.6351931330472107</v>
      </c>
    </row>
    <row r="26" spans="1:5">
      <c r="A26" s="3" t="s">
        <v>226</v>
      </c>
      <c r="B26" s="11" t="s">
        <v>211</v>
      </c>
      <c r="C26" s="11" t="s">
        <v>212</v>
      </c>
      <c r="D26" s="12">
        <v>13</v>
      </c>
      <c r="E26" s="13">
        <v>5.0214592274678118</v>
      </c>
    </row>
    <row r="27" spans="1:5">
      <c r="A27" s="3" t="s">
        <v>227</v>
      </c>
      <c r="B27" s="11" t="s">
        <v>211</v>
      </c>
      <c r="C27" s="11" t="s">
        <v>212</v>
      </c>
      <c r="D27" s="12">
        <v>14</v>
      </c>
      <c r="E27" s="13">
        <v>5.407725321888412</v>
      </c>
    </row>
    <row r="28" spans="1:5">
      <c r="A28" s="3" t="s">
        <v>228</v>
      </c>
      <c r="B28" s="11" t="s">
        <v>211</v>
      </c>
      <c r="C28" s="11" t="s">
        <v>212</v>
      </c>
      <c r="D28" s="12">
        <v>15</v>
      </c>
      <c r="E28" s="13">
        <v>5.7939914163090132</v>
      </c>
    </row>
    <row r="29" spans="1:5">
      <c r="A29" s="3" t="s">
        <v>229</v>
      </c>
      <c r="B29" s="11" t="s">
        <v>211</v>
      </c>
      <c r="C29" s="11" t="s">
        <v>212</v>
      </c>
      <c r="D29" s="12">
        <v>16</v>
      </c>
      <c r="E29" s="13">
        <v>6.1802575107296143</v>
      </c>
    </row>
    <row r="30" spans="1:5">
      <c r="A30" s="3" t="s">
        <v>230</v>
      </c>
      <c r="B30" s="11" t="s">
        <v>211</v>
      </c>
      <c r="C30" s="11" t="s">
        <v>212</v>
      </c>
      <c r="D30" s="12">
        <v>17</v>
      </c>
      <c r="E30" s="13">
        <v>6.5665236051502154</v>
      </c>
    </row>
    <row r="31" spans="1:5">
      <c r="A31" s="3" t="s">
        <v>231</v>
      </c>
      <c r="B31" s="11" t="s">
        <v>211</v>
      </c>
      <c r="C31" s="11" t="s">
        <v>212</v>
      </c>
      <c r="D31" s="12">
        <v>18</v>
      </c>
      <c r="E31" s="13">
        <v>6.9527896995708165</v>
      </c>
    </row>
    <row r="32" spans="1:5">
      <c r="A32" s="3" t="s">
        <v>232</v>
      </c>
      <c r="B32" s="11" t="s">
        <v>211</v>
      </c>
      <c r="C32" s="11" t="s">
        <v>212</v>
      </c>
      <c r="D32" s="12">
        <v>19</v>
      </c>
      <c r="E32" s="13">
        <v>7.3390557939914167</v>
      </c>
    </row>
    <row r="33" spans="1:5">
      <c r="A33" s="3" t="s">
        <v>233</v>
      </c>
      <c r="B33" s="11" t="s">
        <v>211</v>
      </c>
      <c r="C33" s="11" t="s">
        <v>212</v>
      </c>
      <c r="D33" s="12">
        <v>20</v>
      </c>
      <c r="E33" s="13">
        <v>7.7253218884120178</v>
      </c>
    </row>
    <row r="34" spans="1:5">
      <c r="A34" s="3" t="s">
        <v>234</v>
      </c>
      <c r="B34" s="11" t="s">
        <v>211</v>
      </c>
      <c r="C34" s="11" t="s">
        <v>212</v>
      </c>
      <c r="D34" s="12">
        <v>21</v>
      </c>
      <c r="E34" s="13">
        <v>8.1115879828326189</v>
      </c>
    </row>
    <row r="35" spans="1:5">
      <c r="A35" s="3" t="s">
        <v>235</v>
      </c>
      <c r="B35" s="11" t="s">
        <v>211</v>
      </c>
      <c r="C35" s="11" t="s">
        <v>212</v>
      </c>
      <c r="D35" s="12">
        <v>22</v>
      </c>
      <c r="E35" s="13">
        <v>8.4978540772532192</v>
      </c>
    </row>
    <row r="36" spans="1:5">
      <c r="A36" s="3" t="s">
        <v>236</v>
      </c>
      <c r="B36" s="11" t="s">
        <v>211</v>
      </c>
      <c r="C36" s="11" t="s">
        <v>212</v>
      </c>
      <c r="D36" s="12">
        <v>23</v>
      </c>
      <c r="E36" s="13">
        <v>8.8841201716738212</v>
      </c>
    </row>
    <row r="37" spans="1:5">
      <c r="A37" s="3" t="s">
        <v>237</v>
      </c>
      <c r="B37" s="11" t="s">
        <v>211</v>
      </c>
      <c r="C37" s="11" t="s">
        <v>212</v>
      </c>
      <c r="D37" s="12">
        <v>24</v>
      </c>
      <c r="E37" s="13">
        <v>9.2703862660944214</v>
      </c>
    </row>
    <row r="38" spans="1:5">
      <c r="A38" s="3" t="s">
        <v>238</v>
      </c>
      <c r="B38" s="11" t="s">
        <v>211</v>
      </c>
      <c r="C38" s="11" t="s">
        <v>212</v>
      </c>
      <c r="D38" s="12">
        <v>25</v>
      </c>
      <c r="E38" s="13">
        <v>9.6566523605150216</v>
      </c>
    </row>
    <row r="39" spans="1:5">
      <c r="A39" s="3" t="s">
        <v>239</v>
      </c>
      <c r="B39" s="11" t="s">
        <v>211</v>
      </c>
      <c r="C39" s="11" t="s">
        <v>212</v>
      </c>
      <c r="D39" s="12">
        <v>26</v>
      </c>
      <c r="E39" s="13">
        <v>10.042918454935624</v>
      </c>
    </row>
    <row r="40" spans="1:5">
      <c r="A40" s="3" t="s">
        <v>240</v>
      </c>
      <c r="B40" s="11" t="s">
        <v>211</v>
      </c>
      <c r="C40" s="11" t="s">
        <v>212</v>
      </c>
      <c r="D40" s="12">
        <v>27</v>
      </c>
      <c r="E40" s="13">
        <v>10.429184549356224</v>
      </c>
    </row>
    <row r="41" spans="1:5">
      <c r="A41" s="3" t="s">
        <v>241</v>
      </c>
      <c r="B41" s="11" t="s">
        <v>211</v>
      </c>
      <c r="C41" s="11" t="s">
        <v>212</v>
      </c>
      <c r="D41" s="12">
        <v>28</v>
      </c>
      <c r="E41" s="13">
        <v>10.815450643776824</v>
      </c>
    </row>
    <row r="42" spans="1:5">
      <c r="A42" s="3" t="s">
        <v>242</v>
      </c>
      <c r="B42" s="11" t="s">
        <v>211</v>
      </c>
      <c r="C42" s="11" t="s">
        <v>212</v>
      </c>
      <c r="D42" s="12">
        <v>29</v>
      </c>
      <c r="E42" s="13">
        <v>11.201716738197426</v>
      </c>
    </row>
    <row r="43" spans="1:5">
      <c r="A43" s="3" t="s">
        <v>243</v>
      </c>
      <c r="B43" s="11" t="s">
        <v>211</v>
      </c>
      <c r="C43" s="11" t="s">
        <v>212</v>
      </c>
      <c r="D43" s="12">
        <v>30</v>
      </c>
      <c r="E43" s="13">
        <v>11.587982832618026</v>
      </c>
    </row>
    <row r="44" spans="1:5">
      <c r="A44" s="3" t="s">
        <v>244</v>
      </c>
      <c r="B44" s="11" t="s">
        <v>211</v>
      </c>
      <c r="C44" s="11" t="s">
        <v>212</v>
      </c>
      <c r="D44" s="12">
        <v>31</v>
      </c>
      <c r="E44" s="13">
        <v>11.974248927038628</v>
      </c>
    </row>
    <row r="45" spans="1:5">
      <c r="A45" s="3" t="s">
        <v>245</v>
      </c>
      <c r="B45" s="11" t="s">
        <v>211</v>
      </c>
      <c r="C45" s="11" t="s">
        <v>212</v>
      </c>
      <c r="D45" s="12">
        <v>32</v>
      </c>
      <c r="E45" s="13">
        <v>12.360515021459229</v>
      </c>
    </row>
    <row r="46" spans="1:5">
      <c r="A46" s="3" t="s">
        <v>246</v>
      </c>
      <c r="B46" s="11" t="s">
        <v>211</v>
      </c>
      <c r="C46" s="11" t="s">
        <v>212</v>
      </c>
      <c r="D46" s="12">
        <v>33</v>
      </c>
      <c r="E46" s="13">
        <v>12.746781115879829</v>
      </c>
    </row>
    <row r="47" spans="1:5">
      <c r="A47" s="3" t="s">
        <v>247</v>
      </c>
      <c r="B47" s="11" t="s">
        <v>211</v>
      </c>
      <c r="C47" s="11" t="s">
        <v>212</v>
      </c>
      <c r="D47" s="12">
        <v>34</v>
      </c>
      <c r="E47" s="13">
        <v>13.133047210300431</v>
      </c>
    </row>
    <row r="48" spans="1:5">
      <c r="A48" s="3" t="s">
        <v>248</v>
      </c>
      <c r="B48" s="11" t="s">
        <v>211</v>
      </c>
      <c r="C48" s="11" t="s">
        <v>212</v>
      </c>
      <c r="D48" s="12">
        <v>35</v>
      </c>
      <c r="E48" s="13">
        <v>13.519313304721031</v>
      </c>
    </row>
    <row r="49" spans="1:5">
      <c r="A49" s="3" t="s">
        <v>249</v>
      </c>
      <c r="B49" s="11" t="s">
        <v>211</v>
      </c>
      <c r="C49" s="11" t="s">
        <v>212</v>
      </c>
      <c r="D49" s="12">
        <v>36</v>
      </c>
      <c r="E49" s="13">
        <v>13.905579399141633</v>
      </c>
    </row>
    <row r="50" spans="1:5">
      <c r="A50" s="3" t="s">
        <v>250</v>
      </c>
      <c r="B50" s="11" t="s">
        <v>211</v>
      </c>
      <c r="C50" s="11" t="s">
        <v>212</v>
      </c>
      <c r="D50" s="12">
        <v>37</v>
      </c>
      <c r="E50" s="13">
        <v>14.291845493562233</v>
      </c>
    </row>
    <row r="51" spans="1:5">
      <c r="A51" s="3" t="s">
        <v>251</v>
      </c>
      <c r="B51" s="11" t="s">
        <v>211</v>
      </c>
      <c r="C51" s="11" t="s">
        <v>212</v>
      </c>
      <c r="D51" s="12">
        <v>38</v>
      </c>
      <c r="E51" s="13">
        <v>14.678111587982833</v>
      </c>
    </row>
    <row r="52" spans="1:5">
      <c r="A52" s="3" t="s">
        <v>252</v>
      </c>
      <c r="B52" s="11" t="s">
        <v>211</v>
      </c>
      <c r="C52" s="11" t="s">
        <v>212</v>
      </c>
      <c r="D52" s="12">
        <v>39</v>
      </c>
      <c r="E52" s="13">
        <v>15.064377682403435</v>
      </c>
    </row>
    <row r="53" spans="1:5">
      <c r="A53" s="3" t="s">
        <v>253</v>
      </c>
      <c r="B53" s="11" t="s">
        <v>211</v>
      </c>
      <c r="C53" s="11" t="s">
        <v>212</v>
      </c>
      <c r="D53" s="12">
        <v>40</v>
      </c>
      <c r="E53" s="13">
        <v>15.450643776824036</v>
      </c>
    </row>
    <row r="54" spans="1:5">
      <c r="A54" s="3" t="s">
        <v>254</v>
      </c>
      <c r="B54" s="11" t="s">
        <v>211</v>
      </c>
      <c r="C54" s="11" t="s">
        <v>212</v>
      </c>
      <c r="D54" s="12">
        <v>41</v>
      </c>
      <c r="E54" s="13">
        <v>15.836909871244636</v>
      </c>
    </row>
    <row r="55" spans="1:5">
      <c r="A55" s="3" t="s">
        <v>255</v>
      </c>
      <c r="B55" s="11" t="s">
        <v>211</v>
      </c>
      <c r="C55" s="11" t="s">
        <v>212</v>
      </c>
      <c r="D55" s="12">
        <v>42</v>
      </c>
      <c r="E55" s="13">
        <v>16.223175965665238</v>
      </c>
    </row>
    <row r="56" spans="1:5">
      <c r="A56" s="3" t="s">
        <v>256</v>
      </c>
      <c r="B56" s="11" t="s">
        <v>211</v>
      </c>
      <c r="C56" s="11" t="s">
        <v>212</v>
      </c>
      <c r="D56" s="12">
        <v>43</v>
      </c>
      <c r="E56" s="13">
        <v>16.60944206008584</v>
      </c>
    </row>
    <row r="57" spans="1:5">
      <c r="A57" s="3" t="s">
        <v>257</v>
      </c>
      <c r="B57" s="11" t="s">
        <v>211</v>
      </c>
      <c r="C57" s="11" t="s">
        <v>212</v>
      </c>
      <c r="D57" s="12">
        <v>44</v>
      </c>
      <c r="E57" s="13">
        <v>16.995708154506438</v>
      </c>
    </row>
    <row r="58" spans="1:5">
      <c r="A58" s="3" t="s">
        <v>258</v>
      </c>
      <c r="B58" s="11" t="s">
        <v>211</v>
      </c>
      <c r="C58" s="11" t="s">
        <v>212</v>
      </c>
      <c r="D58" s="12">
        <v>45</v>
      </c>
      <c r="E58" s="13">
        <v>17.38197424892704</v>
      </c>
    </row>
    <row r="59" spans="1:5">
      <c r="A59" s="3" t="s">
        <v>259</v>
      </c>
      <c r="B59" s="11" t="s">
        <v>211</v>
      </c>
      <c r="C59" s="11" t="s">
        <v>212</v>
      </c>
      <c r="D59" s="12">
        <v>46</v>
      </c>
      <c r="E59" s="13">
        <v>17.768240343347642</v>
      </c>
    </row>
    <row r="60" spans="1:5">
      <c r="A60" s="3" t="s">
        <v>260</v>
      </c>
      <c r="B60" s="11" t="s">
        <v>211</v>
      </c>
      <c r="C60" s="11" t="s">
        <v>212</v>
      </c>
      <c r="D60" s="12">
        <v>47</v>
      </c>
      <c r="E60" s="13">
        <v>18.154506437768241</v>
      </c>
    </row>
    <row r="61" spans="1:5">
      <c r="A61" s="3" t="s">
        <v>261</v>
      </c>
      <c r="B61" s="11" t="s">
        <v>211</v>
      </c>
      <c r="C61" s="11" t="s">
        <v>212</v>
      </c>
      <c r="D61" s="12">
        <v>48</v>
      </c>
      <c r="E61" s="13">
        <v>18.540772532188843</v>
      </c>
    </row>
    <row r="62" spans="1:5">
      <c r="A62" s="3" t="s">
        <v>262</v>
      </c>
      <c r="B62" s="11" t="s">
        <v>211</v>
      </c>
      <c r="C62" s="11" t="s">
        <v>212</v>
      </c>
      <c r="D62" s="12">
        <v>49</v>
      </c>
      <c r="E62" s="13">
        <v>18.927038626609445</v>
      </c>
    </row>
    <row r="63" spans="1:5">
      <c r="A63" s="3" t="s">
        <v>263</v>
      </c>
      <c r="B63" s="11" t="s">
        <v>211</v>
      </c>
      <c r="C63" s="11" t="s">
        <v>212</v>
      </c>
      <c r="D63" s="12">
        <v>50</v>
      </c>
      <c r="E63" s="13">
        <v>19.313304721030043</v>
      </c>
    </row>
    <row r="64" spans="1:5">
      <c r="A64" s="3" t="s">
        <v>264</v>
      </c>
      <c r="B64" s="11" t="s">
        <v>211</v>
      </c>
      <c r="C64" s="11" t="s">
        <v>212</v>
      </c>
      <c r="D64" s="12">
        <v>51</v>
      </c>
      <c r="E64" s="13">
        <v>19.699570815450645</v>
      </c>
    </row>
    <row r="65" spans="1:5">
      <c r="A65" s="3" t="s">
        <v>265</v>
      </c>
      <c r="B65" s="11" t="s">
        <v>211</v>
      </c>
      <c r="C65" s="11" t="s">
        <v>212</v>
      </c>
      <c r="D65" s="12">
        <v>52</v>
      </c>
      <c r="E65" s="13">
        <v>20.085836909871247</v>
      </c>
    </row>
    <row r="66" spans="1:5">
      <c r="A66" s="3" t="s">
        <v>266</v>
      </c>
      <c r="B66" s="11" t="s">
        <v>211</v>
      </c>
      <c r="C66" s="11" t="s">
        <v>212</v>
      </c>
      <c r="D66" s="12">
        <v>53</v>
      </c>
      <c r="E66" s="13">
        <v>20.472103004291846</v>
      </c>
    </row>
    <row r="67" spans="1:5">
      <c r="A67" s="3" t="s">
        <v>267</v>
      </c>
      <c r="B67" s="11" t="s">
        <v>211</v>
      </c>
      <c r="C67" s="11" t="s">
        <v>212</v>
      </c>
      <c r="D67" s="12">
        <v>54</v>
      </c>
      <c r="E67" s="13">
        <v>20.858369098712448</v>
      </c>
    </row>
    <row r="68" spans="1:5">
      <c r="A68" s="3" t="s">
        <v>268</v>
      </c>
      <c r="B68" s="11" t="s">
        <v>211</v>
      </c>
      <c r="C68" s="11" t="s">
        <v>212</v>
      </c>
      <c r="D68" s="12">
        <v>55</v>
      </c>
      <c r="E68" s="13">
        <v>21.24463519313305</v>
      </c>
    </row>
    <row r="69" spans="1:5">
      <c r="A69" s="3" t="s">
        <v>269</v>
      </c>
      <c r="B69" s="11" t="s">
        <v>211</v>
      </c>
      <c r="C69" s="11" t="s">
        <v>212</v>
      </c>
      <c r="D69" s="12">
        <v>56</v>
      </c>
      <c r="E69" s="13">
        <v>21.630901287553648</v>
      </c>
    </row>
    <row r="70" spans="1:5">
      <c r="A70" s="3" t="s">
        <v>270</v>
      </c>
      <c r="B70" s="11" t="s">
        <v>211</v>
      </c>
      <c r="C70" s="11" t="s">
        <v>212</v>
      </c>
      <c r="D70" s="12">
        <v>57</v>
      </c>
      <c r="E70" s="13">
        <v>22.01716738197425</v>
      </c>
    </row>
    <row r="71" spans="1:5">
      <c r="A71" s="3" t="s">
        <v>271</v>
      </c>
      <c r="B71" s="11" t="s">
        <v>211</v>
      </c>
      <c r="C71" s="11" t="s">
        <v>212</v>
      </c>
      <c r="D71" s="12">
        <v>58</v>
      </c>
      <c r="E71" s="13">
        <v>22.403433476394852</v>
      </c>
    </row>
    <row r="72" spans="1:5">
      <c r="A72" s="3" t="s">
        <v>272</v>
      </c>
      <c r="B72" s="11" t="s">
        <v>211</v>
      </c>
      <c r="C72" s="11" t="s">
        <v>212</v>
      </c>
      <c r="D72" s="12">
        <v>59</v>
      </c>
      <c r="E72" s="13">
        <v>22.789699570815454</v>
      </c>
    </row>
    <row r="73" spans="1:5">
      <c r="A73" s="3" t="s">
        <v>273</v>
      </c>
      <c r="B73" s="11" t="s">
        <v>211</v>
      </c>
      <c r="C73" s="11" t="s">
        <v>212</v>
      </c>
      <c r="D73" s="12">
        <v>60</v>
      </c>
      <c r="E73" s="13">
        <v>23.175965665236053</v>
      </c>
    </row>
    <row r="74" spans="1:5">
      <c r="A74" s="3" t="s">
        <v>274</v>
      </c>
      <c r="B74" s="11" t="s">
        <v>211</v>
      </c>
      <c r="C74" s="11" t="s">
        <v>275</v>
      </c>
      <c r="D74" s="12">
        <v>0</v>
      </c>
      <c r="E74" s="13">
        <v>0</v>
      </c>
    </row>
    <row r="75" spans="1:5">
      <c r="A75" s="3" t="s">
        <v>276</v>
      </c>
      <c r="B75" s="11" t="s">
        <v>211</v>
      </c>
      <c r="C75" s="11" t="s">
        <v>275</v>
      </c>
      <c r="D75" s="12">
        <v>1</v>
      </c>
      <c r="E75" s="13">
        <v>0.5665236051502146</v>
      </c>
    </row>
    <row r="76" spans="1:5">
      <c r="A76" s="3" t="s">
        <v>277</v>
      </c>
      <c r="B76" s="11" t="s">
        <v>211</v>
      </c>
      <c r="C76" s="11" t="s">
        <v>275</v>
      </c>
      <c r="D76" s="12">
        <v>2</v>
      </c>
      <c r="E76" s="13">
        <v>1.1330472103004292</v>
      </c>
    </row>
    <row r="77" spans="1:5">
      <c r="A77" s="3" t="s">
        <v>278</v>
      </c>
      <c r="B77" s="11" t="s">
        <v>211</v>
      </c>
      <c r="C77" s="11" t="s">
        <v>275</v>
      </c>
      <c r="D77" s="12">
        <v>3</v>
      </c>
      <c r="E77" s="13">
        <v>1.6995708154506439</v>
      </c>
    </row>
    <row r="78" spans="1:5">
      <c r="A78" s="3" t="s">
        <v>279</v>
      </c>
      <c r="B78" s="11" t="s">
        <v>211</v>
      </c>
      <c r="C78" s="11" t="s">
        <v>275</v>
      </c>
      <c r="D78" s="12">
        <v>4</v>
      </c>
      <c r="E78" s="13">
        <v>2.2660944206008584</v>
      </c>
    </row>
    <row r="79" spans="1:5">
      <c r="A79" s="3" t="s">
        <v>280</v>
      </c>
      <c r="B79" s="11" t="s">
        <v>211</v>
      </c>
      <c r="C79" s="11" t="s">
        <v>275</v>
      </c>
      <c r="D79" s="12">
        <v>5</v>
      </c>
      <c r="E79" s="13">
        <v>2.8326180257510729</v>
      </c>
    </row>
    <row r="80" spans="1:5">
      <c r="A80" s="3" t="s">
        <v>281</v>
      </c>
      <c r="B80" s="11" t="s">
        <v>211</v>
      </c>
      <c r="C80" s="11" t="s">
        <v>275</v>
      </c>
      <c r="D80" s="12">
        <v>6</v>
      </c>
      <c r="E80" s="13">
        <v>3.3991416309012878</v>
      </c>
    </row>
    <row r="81" spans="1:5">
      <c r="A81" s="3" t="s">
        <v>282</v>
      </c>
      <c r="B81" s="11" t="s">
        <v>211</v>
      </c>
      <c r="C81" s="11" t="s">
        <v>275</v>
      </c>
      <c r="D81" s="12">
        <v>7</v>
      </c>
      <c r="E81" s="13">
        <v>3.9656652360515023</v>
      </c>
    </row>
    <row r="82" spans="1:5">
      <c r="A82" s="3" t="s">
        <v>283</v>
      </c>
      <c r="B82" s="11" t="s">
        <v>211</v>
      </c>
      <c r="C82" s="11" t="s">
        <v>275</v>
      </c>
      <c r="D82" s="12">
        <v>8</v>
      </c>
      <c r="E82" s="13">
        <v>4.5321888412017168</v>
      </c>
    </row>
    <row r="83" spans="1:5">
      <c r="A83" s="3" t="s">
        <v>284</v>
      </c>
      <c r="B83" s="11" t="s">
        <v>211</v>
      </c>
      <c r="C83" s="11" t="s">
        <v>275</v>
      </c>
      <c r="D83" s="12">
        <v>9</v>
      </c>
      <c r="E83" s="13">
        <v>5.0987124463519313</v>
      </c>
    </row>
    <row r="84" spans="1:5">
      <c r="A84" s="3" t="s">
        <v>285</v>
      </c>
      <c r="B84" s="11" t="s">
        <v>211</v>
      </c>
      <c r="C84" s="11" t="s">
        <v>275</v>
      </c>
      <c r="D84" s="12">
        <v>10</v>
      </c>
      <c r="E84" s="13">
        <v>5.6652360515021458</v>
      </c>
    </row>
    <row r="85" spans="1:5">
      <c r="A85" s="3" t="s">
        <v>286</v>
      </c>
      <c r="B85" s="11" t="s">
        <v>211</v>
      </c>
      <c r="C85" s="11" t="s">
        <v>275</v>
      </c>
      <c r="D85" s="12">
        <v>11</v>
      </c>
      <c r="E85" s="13">
        <v>6.2317596566523603</v>
      </c>
    </row>
    <row r="86" spans="1:5">
      <c r="A86" s="3" t="s">
        <v>287</v>
      </c>
      <c r="B86" s="11" t="s">
        <v>211</v>
      </c>
      <c r="C86" s="11" t="s">
        <v>275</v>
      </c>
      <c r="D86" s="12">
        <v>12</v>
      </c>
      <c r="E86" s="13">
        <v>6.7982832618025757</v>
      </c>
    </row>
    <row r="87" spans="1:5">
      <c r="A87" s="3" t="s">
        <v>288</v>
      </c>
      <c r="B87" s="11" t="s">
        <v>211</v>
      </c>
      <c r="C87" s="11" t="s">
        <v>275</v>
      </c>
      <c r="D87" s="12">
        <v>13</v>
      </c>
      <c r="E87" s="13">
        <v>7.3648068669527902</v>
      </c>
    </row>
    <row r="88" spans="1:5">
      <c r="A88" s="3" t="s">
        <v>289</v>
      </c>
      <c r="B88" s="11" t="s">
        <v>211</v>
      </c>
      <c r="C88" s="11" t="s">
        <v>275</v>
      </c>
      <c r="D88" s="12">
        <v>14</v>
      </c>
      <c r="E88" s="13">
        <v>7.9313304721030047</v>
      </c>
    </row>
    <row r="89" spans="1:5">
      <c r="A89" s="3" t="s">
        <v>290</v>
      </c>
      <c r="B89" s="11" t="s">
        <v>211</v>
      </c>
      <c r="C89" s="11" t="s">
        <v>275</v>
      </c>
      <c r="D89" s="12">
        <v>15</v>
      </c>
      <c r="E89" s="13">
        <v>8.4978540772532192</v>
      </c>
    </row>
    <row r="90" spans="1:5">
      <c r="A90" s="3" t="s">
        <v>291</v>
      </c>
      <c r="B90" s="11" t="s">
        <v>211</v>
      </c>
      <c r="C90" s="11" t="s">
        <v>275</v>
      </c>
      <c r="D90" s="12">
        <v>16</v>
      </c>
      <c r="E90" s="13">
        <v>9.0643776824034337</v>
      </c>
    </row>
    <row r="91" spans="1:5">
      <c r="A91" s="3" t="s">
        <v>292</v>
      </c>
      <c r="B91" s="11" t="s">
        <v>211</v>
      </c>
      <c r="C91" s="11" t="s">
        <v>275</v>
      </c>
      <c r="D91" s="12">
        <v>17</v>
      </c>
      <c r="E91" s="13">
        <v>9.6309012875536482</v>
      </c>
    </row>
    <row r="92" spans="1:5">
      <c r="A92" s="3" t="s">
        <v>293</v>
      </c>
      <c r="B92" s="11" t="s">
        <v>211</v>
      </c>
      <c r="C92" s="11" t="s">
        <v>275</v>
      </c>
      <c r="D92" s="12">
        <v>18</v>
      </c>
      <c r="E92" s="13">
        <v>10.197424892703863</v>
      </c>
    </row>
    <row r="93" spans="1:5">
      <c r="A93" s="3" t="s">
        <v>294</v>
      </c>
      <c r="B93" s="11" t="s">
        <v>211</v>
      </c>
      <c r="C93" s="11" t="s">
        <v>275</v>
      </c>
      <c r="D93" s="12">
        <v>19</v>
      </c>
      <c r="E93" s="13">
        <v>10.763948497854077</v>
      </c>
    </row>
    <row r="94" spans="1:5">
      <c r="A94" s="3" t="s">
        <v>295</v>
      </c>
      <c r="B94" s="11" t="s">
        <v>211</v>
      </c>
      <c r="C94" s="11" t="s">
        <v>275</v>
      </c>
      <c r="D94" s="12">
        <v>20</v>
      </c>
      <c r="E94" s="13">
        <v>11.330472103004292</v>
      </c>
    </row>
    <row r="95" spans="1:5">
      <c r="A95" s="3" t="s">
        <v>296</v>
      </c>
      <c r="B95" s="11" t="s">
        <v>211</v>
      </c>
      <c r="C95" s="11" t="s">
        <v>275</v>
      </c>
      <c r="D95" s="12">
        <v>21</v>
      </c>
      <c r="E95" s="13">
        <v>11.896995708154506</v>
      </c>
    </row>
    <row r="96" spans="1:5">
      <c r="A96" s="3" t="s">
        <v>297</v>
      </c>
      <c r="B96" s="11" t="s">
        <v>211</v>
      </c>
      <c r="C96" s="11" t="s">
        <v>275</v>
      </c>
      <c r="D96" s="12">
        <v>22</v>
      </c>
      <c r="E96" s="13">
        <v>12.463519313304721</v>
      </c>
    </row>
    <row r="97" spans="1:5">
      <c r="A97" s="3" t="s">
        <v>298</v>
      </c>
      <c r="B97" s="11" t="s">
        <v>211</v>
      </c>
      <c r="C97" s="11" t="s">
        <v>275</v>
      </c>
      <c r="D97" s="12">
        <v>23</v>
      </c>
      <c r="E97" s="13">
        <v>13.030042918454935</v>
      </c>
    </row>
    <row r="98" spans="1:5">
      <c r="A98" s="3" t="s">
        <v>299</v>
      </c>
      <c r="B98" s="11" t="s">
        <v>211</v>
      </c>
      <c r="C98" s="11" t="s">
        <v>275</v>
      </c>
      <c r="D98" s="12">
        <v>24</v>
      </c>
      <c r="E98" s="13">
        <v>13.596566523605151</v>
      </c>
    </row>
    <row r="99" spans="1:5">
      <c r="A99" s="3" t="s">
        <v>300</v>
      </c>
      <c r="B99" s="11" t="s">
        <v>211</v>
      </c>
      <c r="C99" s="11" t="s">
        <v>275</v>
      </c>
      <c r="D99" s="12">
        <v>25</v>
      </c>
      <c r="E99" s="13">
        <v>14.163090128755366</v>
      </c>
    </row>
    <row r="100" spans="1:5">
      <c r="A100" s="3" t="s">
        <v>301</v>
      </c>
      <c r="B100" s="11" t="s">
        <v>211</v>
      </c>
      <c r="C100" s="11" t="s">
        <v>275</v>
      </c>
      <c r="D100" s="12">
        <v>26</v>
      </c>
      <c r="E100" s="13">
        <v>14.72961373390558</v>
      </c>
    </row>
    <row r="101" spans="1:5">
      <c r="A101" s="3" t="s">
        <v>302</v>
      </c>
      <c r="B101" s="11" t="s">
        <v>211</v>
      </c>
      <c r="C101" s="11" t="s">
        <v>275</v>
      </c>
      <c r="D101" s="12">
        <v>27</v>
      </c>
      <c r="E101" s="13">
        <v>15.296137339055795</v>
      </c>
    </row>
    <row r="102" spans="1:5">
      <c r="A102" s="3" t="s">
        <v>303</v>
      </c>
      <c r="B102" s="11" t="s">
        <v>211</v>
      </c>
      <c r="C102" s="11" t="s">
        <v>275</v>
      </c>
      <c r="D102" s="12">
        <v>28</v>
      </c>
      <c r="E102" s="13">
        <v>15.862660944206009</v>
      </c>
    </row>
    <row r="103" spans="1:5">
      <c r="A103" s="3" t="s">
        <v>304</v>
      </c>
      <c r="B103" s="11" t="s">
        <v>211</v>
      </c>
      <c r="C103" s="11" t="s">
        <v>275</v>
      </c>
      <c r="D103" s="12">
        <v>29</v>
      </c>
      <c r="E103" s="13">
        <v>16.429184549356222</v>
      </c>
    </row>
    <row r="104" spans="1:5">
      <c r="A104" s="3" t="s">
        <v>305</v>
      </c>
      <c r="B104" s="11" t="s">
        <v>211</v>
      </c>
      <c r="C104" s="11" t="s">
        <v>275</v>
      </c>
      <c r="D104" s="12">
        <v>30</v>
      </c>
      <c r="E104" s="13">
        <v>16.995708154506438</v>
      </c>
    </row>
    <row r="105" spans="1:5">
      <c r="A105" s="3" t="s">
        <v>306</v>
      </c>
      <c r="B105" s="11" t="s">
        <v>211</v>
      </c>
      <c r="C105" s="11" t="s">
        <v>275</v>
      </c>
      <c r="D105" s="12">
        <v>31</v>
      </c>
      <c r="E105" s="13">
        <v>17.562231759656651</v>
      </c>
    </row>
    <row r="106" spans="1:5">
      <c r="A106" s="3" t="s">
        <v>307</v>
      </c>
      <c r="B106" s="11" t="s">
        <v>211</v>
      </c>
      <c r="C106" s="11" t="s">
        <v>275</v>
      </c>
      <c r="D106" s="12">
        <v>32</v>
      </c>
      <c r="E106" s="13">
        <v>18.128755364806867</v>
      </c>
    </row>
    <row r="107" spans="1:5">
      <c r="A107" s="3" t="s">
        <v>308</v>
      </c>
      <c r="B107" s="11" t="s">
        <v>211</v>
      </c>
      <c r="C107" s="11" t="s">
        <v>275</v>
      </c>
      <c r="D107" s="12">
        <v>33</v>
      </c>
      <c r="E107" s="13">
        <v>18.695278969957084</v>
      </c>
    </row>
    <row r="108" spans="1:5">
      <c r="A108" s="3" t="s">
        <v>309</v>
      </c>
      <c r="B108" s="11" t="s">
        <v>211</v>
      </c>
      <c r="C108" s="11" t="s">
        <v>275</v>
      </c>
      <c r="D108" s="12">
        <v>34</v>
      </c>
      <c r="E108" s="13">
        <v>19.261802575107296</v>
      </c>
    </row>
    <row r="109" spans="1:5">
      <c r="A109" s="3" t="s">
        <v>310</v>
      </c>
      <c r="B109" s="11" t="s">
        <v>211</v>
      </c>
      <c r="C109" s="11" t="s">
        <v>275</v>
      </c>
      <c r="D109" s="12">
        <v>35</v>
      </c>
      <c r="E109" s="13">
        <v>19.828326180257513</v>
      </c>
    </row>
    <row r="110" spans="1:5">
      <c r="A110" s="3" t="s">
        <v>311</v>
      </c>
      <c r="B110" s="11" t="s">
        <v>211</v>
      </c>
      <c r="C110" s="11" t="s">
        <v>275</v>
      </c>
      <c r="D110" s="12">
        <v>36</v>
      </c>
      <c r="E110" s="13">
        <v>20.394849785407725</v>
      </c>
    </row>
    <row r="111" spans="1:5">
      <c r="A111" s="3" t="s">
        <v>312</v>
      </c>
      <c r="B111" s="11" t="s">
        <v>211</v>
      </c>
      <c r="C111" s="11" t="s">
        <v>275</v>
      </c>
      <c r="D111" s="12">
        <v>37</v>
      </c>
      <c r="E111" s="13">
        <v>20.961373390557942</v>
      </c>
    </row>
    <row r="112" spans="1:5">
      <c r="A112" s="3" t="s">
        <v>313</v>
      </c>
      <c r="B112" s="11" t="s">
        <v>211</v>
      </c>
      <c r="C112" s="11" t="s">
        <v>275</v>
      </c>
      <c r="D112" s="12">
        <v>38</v>
      </c>
      <c r="E112" s="13">
        <v>21.527896995708154</v>
      </c>
    </row>
    <row r="113" spans="1:5">
      <c r="A113" s="3" t="s">
        <v>314</v>
      </c>
      <c r="B113" s="11" t="s">
        <v>211</v>
      </c>
      <c r="C113" s="11" t="s">
        <v>275</v>
      </c>
      <c r="D113" s="12">
        <v>39</v>
      </c>
      <c r="E113" s="13">
        <v>22.094420600858371</v>
      </c>
    </row>
    <row r="114" spans="1:5">
      <c r="A114" s="3" t="s">
        <v>315</v>
      </c>
      <c r="B114" s="11" t="s">
        <v>211</v>
      </c>
      <c r="C114" s="11" t="s">
        <v>275</v>
      </c>
      <c r="D114" s="12">
        <v>40</v>
      </c>
      <c r="E114" s="13">
        <v>22.660944206008583</v>
      </c>
    </row>
    <row r="115" spans="1:5">
      <c r="A115" s="3" t="s">
        <v>316</v>
      </c>
      <c r="B115" s="11" t="s">
        <v>211</v>
      </c>
      <c r="C115" s="11" t="s">
        <v>275</v>
      </c>
      <c r="D115" s="12">
        <v>41</v>
      </c>
      <c r="E115" s="13">
        <v>23.2274678111588</v>
      </c>
    </row>
    <row r="116" spans="1:5">
      <c r="A116" s="3" t="s">
        <v>317</v>
      </c>
      <c r="B116" s="11" t="s">
        <v>211</v>
      </c>
      <c r="C116" s="11" t="s">
        <v>275</v>
      </c>
      <c r="D116" s="12">
        <v>42</v>
      </c>
      <c r="E116" s="13">
        <v>23.793991416309012</v>
      </c>
    </row>
    <row r="117" spans="1:5">
      <c r="A117" s="3" t="s">
        <v>318</v>
      </c>
      <c r="B117" s="11" t="s">
        <v>211</v>
      </c>
      <c r="C117" s="11" t="s">
        <v>275</v>
      </c>
      <c r="D117" s="12">
        <v>43</v>
      </c>
      <c r="E117" s="13">
        <v>24.360515021459229</v>
      </c>
    </row>
    <row r="118" spans="1:5">
      <c r="A118" s="3" t="s">
        <v>319</v>
      </c>
      <c r="B118" s="11" t="s">
        <v>211</v>
      </c>
      <c r="C118" s="11" t="s">
        <v>275</v>
      </c>
      <c r="D118" s="12">
        <v>44</v>
      </c>
      <c r="E118" s="13">
        <v>24.927038626609441</v>
      </c>
    </row>
    <row r="119" spans="1:5">
      <c r="A119" s="3" t="s">
        <v>320</v>
      </c>
      <c r="B119" s="11" t="s">
        <v>211</v>
      </c>
      <c r="C119" s="11" t="s">
        <v>275</v>
      </c>
      <c r="D119" s="12">
        <v>45</v>
      </c>
      <c r="E119" s="13">
        <v>25.493562231759658</v>
      </c>
    </row>
    <row r="120" spans="1:5">
      <c r="A120" s="3" t="s">
        <v>321</v>
      </c>
      <c r="B120" s="11" t="s">
        <v>211</v>
      </c>
      <c r="C120" s="11" t="s">
        <v>275</v>
      </c>
      <c r="D120" s="12">
        <v>46</v>
      </c>
      <c r="E120" s="13">
        <v>26.06008583690987</v>
      </c>
    </row>
    <row r="121" spans="1:5">
      <c r="A121" s="3" t="s">
        <v>322</v>
      </c>
      <c r="B121" s="11" t="s">
        <v>211</v>
      </c>
      <c r="C121" s="11" t="s">
        <v>275</v>
      </c>
      <c r="D121" s="12">
        <v>47</v>
      </c>
      <c r="E121" s="13">
        <v>26.626609442060087</v>
      </c>
    </row>
    <row r="122" spans="1:5">
      <c r="A122" s="3" t="s">
        <v>323</v>
      </c>
      <c r="B122" s="11" t="s">
        <v>211</v>
      </c>
      <c r="C122" s="11" t="s">
        <v>275</v>
      </c>
      <c r="D122" s="12">
        <v>48</v>
      </c>
      <c r="E122" s="13">
        <v>27.193133047210303</v>
      </c>
    </row>
    <row r="123" spans="1:5">
      <c r="A123" s="3" t="s">
        <v>324</v>
      </c>
      <c r="B123" s="11" t="s">
        <v>211</v>
      </c>
      <c r="C123" s="11" t="s">
        <v>275</v>
      </c>
      <c r="D123" s="12">
        <v>49</v>
      </c>
      <c r="E123" s="13">
        <v>27.759656652360515</v>
      </c>
    </row>
    <row r="124" spans="1:5">
      <c r="A124" s="3" t="s">
        <v>325</v>
      </c>
      <c r="B124" s="11" t="s">
        <v>211</v>
      </c>
      <c r="C124" s="11" t="s">
        <v>275</v>
      </c>
      <c r="D124" s="12">
        <v>50</v>
      </c>
      <c r="E124" s="13">
        <v>28.326180257510732</v>
      </c>
    </row>
    <row r="125" spans="1:5">
      <c r="A125" s="3" t="s">
        <v>326</v>
      </c>
      <c r="B125" s="11" t="s">
        <v>211</v>
      </c>
      <c r="C125" s="11" t="s">
        <v>275</v>
      </c>
      <c r="D125" s="12">
        <v>51</v>
      </c>
      <c r="E125" s="13">
        <v>28.892703862660944</v>
      </c>
    </row>
    <row r="126" spans="1:5">
      <c r="A126" s="3" t="s">
        <v>327</v>
      </c>
      <c r="B126" s="11" t="s">
        <v>211</v>
      </c>
      <c r="C126" s="11" t="s">
        <v>275</v>
      </c>
      <c r="D126" s="12">
        <v>52</v>
      </c>
      <c r="E126" s="13">
        <v>29.459227467811161</v>
      </c>
    </row>
    <row r="127" spans="1:5">
      <c r="A127" s="3" t="s">
        <v>328</v>
      </c>
      <c r="B127" s="11" t="s">
        <v>211</v>
      </c>
      <c r="C127" s="11" t="s">
        <v>275</v>
      </c>
      <c r="D127" s="12">
        <v>53</v>
      </c>
      <c r="E127" s="13">
        <v>30.025751072961373</v>
      </c>
    </row>
    <row r="128" spans="1:5">
      <c r="A128" s="3" t="s">
        <v>329</v>
      </c>
      <c r="B128" s="11" t="s">
        <v>211</v>
      </c>
      <c r="C128" s="11" t="s">
        <v>275</v>
      </c>
      <c r="D128" s="12">
        <v>54</v>
      </c>
      <c r="E128" s="13">
        <v>30.59227467811159</v>
      </c>
    </row>
    <row r="129" spans="1:5">
      <c r="A129" s="3" t="s">
        <v>330</v>
      </c>
      <c r="B129" s="11" t="s">
        <v>211</v>
      </c>
      <c r="C129" s="11" t="s">
        <v>275</v>
      </c>
      <c r="D129" s="12">
        <v>55</v>
      </c>
      <c r="E129" s="13">
        <v>31.158798283261802</v>
      </c>
    </row>
    <row r="130" spans="1:5">
      <c r="A130" s="3" t="s">
        <v>331</v>
      </c>
      <c r="B130" s="11" t="s">
        <v>211</v>
      </c>
      <c r="C130" s="11" t="s">
        <v>275</v>
      </c>
      <c r="D130" s="12">
        <v>56</v>
      </c>
      <c r="E130" s="13">
        <v>31.725321888412019</v>
      </c>
    </row>
    <row r="131" spans="1:5">
      <c r="A131" s="3" t="s">
        <v>332</v>
      </c>
      <c r="B131" s="11" t="s">
        <v>211</v>
      </c>
      <c r="C131" s="11" t="s">
        <v>275</v>
      </c>
      <c r="D131" s="12">
        <v>57</v>
      </c>
      <c r="E131" s="13">
        <v>32.291845493562235</v>
      </c>
    </row>
    <row r="132" spans="1:5">
      <c r="A132" s="3" t="s">
        <v>333</v>
      </c>
      <c r="B132" s="11" t="s">
        <v>211</v>
      </c>
      <c r="C132" s="11" t="s">
        <v>275</v>
      </c>
      <c r="D132" s="12">
        <v>58</v>
      </c>
      <c r="E132" s="13">
        <v>32.858369098712444</v>
      </c>
    </row>
    <row r="133" spans="1:5">
      <c r="A133" s="3" t="s">
        <v>334</v>
      </c>
      <c r="B133" s="11" t="s">
        <v>211</v>
      </c>
      <c r="C133" s="11" t="s">
        <v>275</v>
      </c>
      <c r="D133" s="12">
        <v>59</v>
      </c>
      <c r="E133" s="13">
        <v>33.42489270386266</v>
      </c>
    </row>
    <row r="134" spans="1:5">
      <c r="A134" s="3" t="s">
        <v>335</v>
      </c>
      <c r="B134" s="11" t="s">
        <v>211</v>
      </c>
      <c r="C134" s="11" t="s">
        <v>275</v>
      </c>
      <c r="D134" s="12">
        <v>60</v>
      </c>
      <c r="E134" s="13">
        <v>33.991416309012877</v>
      </c>
    </row>
    <row r="135" spans="1:5">
      <c r="A135" s="3" t="s">
        <v>336</v>
      </c>
      <c r="B135" s="11" t="s">
        <v>211</v>
      </c>
      <c r="C135" s="11" t="s">
        <v>337</v>
      </c>
      <c r="D135" s="12">
        <v>0</v>
      </c>
      <c r="E135" s="13">
        <v>0</v>
      </c>
    </row>
    <row r="136" spans="1:5">
      <c r="A136" s="3" t="s">
        <v>338</v>
      </c>
      <c r="B136" s="11" t="s">
        <v>211</v>
      </c>
      <c r="C136" s="11" t="s">
        <v>337</v>
      </c>
      <c r="D136" s="12">
        <v>1</v>
      </c>
      <c r="E136" s="13">
        <v>0.64377682403433478</v>
      </c>
    </row>
    <row r="137" spans="1:5">
      <c r="A137" s="3" t="s">
        <v>339</v>
      </c>
      <c r="B137" s="11" t="s">
        <v>211</v>
      </c>
      <c r="C137" s="11" t="s">
        <v>337</v>
      </c>
      <c r="D137" s="12">
        <v>2</v>
      </c>
      <c r="E137" s="13">
        <v>1.2875536480686696</v>
      </c>
    </row>
    <row r="138" spans="1:5">
      <c r="A138" s="3" t="s">
        <v>340</v>
      </c>
      <c r="B138" s="11" t="s">
        <v>211</v>
      </c>
      <c r="C138" s="11" t="s">
        <v>337</v>
      </c>
      <c r="D138" s="12">
        <v>3</v>
      </c>
      <c r="E138" s="13">
        <v>1.9313304721030042</v>
      </c>
    </row>
    <row r="139" spans="1:5">
      <c r="A139" s="3" t="s">
        <v>341</v>
      </c>
      <c r="B139" s="11" t="s">
        <v>211</v>
      </c>
      <c r="C139" s="11" t="s">
        <v>337</v>
      </c>
      <c r="D139" s="12">
        <v>4</v>
      </c>
      <c r="E139" s="13">
        <v>2.5751072961373391</v>
      </c>
    </row>
    <row r="140" spans="1:5">
      <c r="A140" s="3" t="s">
        <v>342</v>
      </c>
      <c r="B140" s="11" t="s">
        <v>211</v>
      </c>
      <c r="C140" s="11" t="s">
        <v>337</v>
      </c>
      <c r="D140" s="12">
        <v>5</v>
      </c>
      <c r="E140" s="13">
        <v>3.218884120171674</v>
      </c>
    </row>
    <row r="141" spans="1:5">
      <c r="A141" s="3" t="s">
        <v>343</v>
      </c>
      <c r="B141" s="11" t="s">
        <v>211</v>
      </c>
      <c r="C141" s="11" t="s">
        <v>337</v>
      </c>
      <c r="D141" s="12">
        <v>6</v>
      </c>
      <c r="E141" s="13">
        <v>3.8626609442060085</v>
      </c>
    </row>
    <row r="142" spans="1:5">
      <c r="A142" s="3" t="s">
        <v>344</v>
      </c>
      <c r="B142" s="11" t="s">
        <v>211</v>
      </c>
      <c r="C142" s="11" t="s">
        <v>337</v>
      </c>
      <c r="D142" s="12">
        <v>7</v>
      </c>
      <c r="E142" s="13">
        <v>4.5064377682403434</v>
      </c>
    </row>
    <row r="143" spans="1:5">
      <c r="A143" s="3" t="s">
        <v>345</v>
      </c>
      <c r="B143" s="11" t="s">
        <v>211</v>
      </c>
      <c r="C143" s="11" t="s">
        <v>337</v>
      </c>
      <c r="D143" s="12">
        <v>8</v>
      </c>
      <c r="E143" s="13">
        <v>5.1502145922746783</v>
      </c>
    </row>
    <row r="144" spans="1:5">
      <c r="A144" s="3" t="s">
        <v>346</v>
      </c>
      <c r="B144" s="11" t="s">
        <v>211</v>
      </c>
      <c r="C144" s="11" t="s">
        <v>337</v>
      </c>
      <c r="D144" s="12">
        <v>9</v>
      </c>
      <c r="E144" s="13">
        <v>5.7939914163090132</v>
      </c>
    </row>
    <row r="145" spans="1:5">
      <c r="A145" s="3" t="s">
        <v>347</v>
      </c>
      <c r="B145" s="11" t="s">
        <v>211</v>
      </c>
      <c r="C145" s="11" t="s">
        <v>337</v>
      </c>
      <c r="D145" s="12">
        <v>10</v>
      </c>
      <c r="E145" s="13">
        <v>6.437768240343348</v>
      </c>
    </row>
    <row r="146" spans="1:5">
      <c r="A146" s="3" t="s">
        <v>348</v>
      </c>
      <c r="B146" s="11" t="s">
        <v>211</v>
      </c>
      <c r="C146" s="11" t="s">
        <v>337</v>
      </c>
      <c r="D146" s="12">
        <v>11</v>
      </c>
      <c r="E146" s="13">
        <v>7.0815450643776829</v>
      </c>
    </row>
    <row r="147" spans="1:5">
      <c r="A147" s="3" t="s">
        <v>349</v>
      </c>
      <c r="B147" s="11" t="s">
        <v>211</v>
      </c>
      <c r="C147" s="11" t="s">
        <v>337</v>
      </c>
      <c r="D147" s="12">
        <v>12</v>
      </c>
      <c r="E147" s="13">
        <v>7.7253218884120169</v>
      </c>
    </row>
    <row r="148" spans="1:5">
      <c r="A148" s="3" t="s">
        <v>350</v>
      </c>
      <c r="B148" s="11" t="s">
        <v>211</v>
      </c>
      <c r="C148" s="11" t="s">
        <v>337</v>
      </c>
      <c r="D148" s="12">
        <v>13</v>
      </c>
      <c r="E148" s="13">
        <v>8.3690987124463518</v>
      </c>
    </row>
    <row r="149" spans="1:5">
      <c r="A149" s="3" t="s">
        <v>351</v>
      </c>
      <c r="B149" s="11" t="s">
        <v>211</v>
      </c>
      <c r="C149" s="11" t="s">
        <v>337</v>
      </c>
      <c r="D149" s="12">
        <v>14</v>
      </c>
      <c r="E149" s="13">
        <v>9.0128755364806867</v>
      </c>
    </row>
    <row r="150" spans="1:5">
      <c r="A150" s="3" t="s">
        <v>352</v>
      </c>
      <c r="B150" s="11" t="s">
        <v>211</v>
      </c>
      <c r="C150" s="11" t="s">
        <v>337</v>
      </c>
      <c r="D150" s="12">
        <v>15</v>
      </c>
      <c r="E150" s="13">
        <v>9.6566523605150216</v>
      </c>
    </row>
    <row r="151" spans="1:5">
      <c r="A151" s="3" t="s">
        <v>353</v>
      </c>
      <c r="B151" s="11" t="s">
        <v>211</v>
      </c>
      <c r="C151" s="11" t="s">
        <v>337</v>
      </c>
      <c r="D151" s="12">
        <v>16</v>
      </c>
      <c r="E151" s="13">
        <v>10.300429184549357</v>
      </c>
    </row>
    <row r="152" spans="1:5">
      <c r="A152" s="3" t="s">
        <v>354</v>
      </c>
      <c r="B152" s="11" t="s">
        <v>211</v>
      </c>
      <c r="C152" s="11" t="s">
        <v>337</v>
      </c>
      <c r="D152" s="12">
        <v>17</v>
      </c>
      <c r="E152" s="13">
        <v>10.944206008583691</v>
      </c>
    </row>
    <row r="153" spans="1:5">
      <c r="A153" s="3" t="s">
        <v>355</v>
      </c>
      <c r="B153" s="11" t="s">
        <v>211</v>
      </c>
      <c r="C153" s="11" t="s">
        <v>337</v>
      </c>
      <c r="D153" s="12">
        <v>18</v>
      </c>
      <c r="E153" s="13">
        <v>11.587982832618026</v>
      </c>
    </row>
    <row r="154" spans="1:5">
      <c r="A154" s="3" t="s">
        <v>356</v>
      </c>
      <c r="B154" s="11" t="s">
        <v>211</v>
      </c>
      <c r="C154" s="11" t="s">
        <v>337</v>
      </c>
      <c r="D154" s="12">
        <v>19</v>
      </c>
      <c r="E154" s="13">
        <v>12.231759656652361</v>
      </c>
    </row>
    <row r="155" spans="1:5">
      <c r="A155" s="3" t="s">
        <v>357</v>
      </c>
      <c r="B155" s="11" t="s">
        <v>211</v>
      </c>
      <c r="C155" s="11" t="s">
        <v>337</v>
      </c>
      <c r="D155" s="12">
        <v>20</v>
      </c>
      <c r="E155" s="13">
        <v>12.875536480686696</v>
      </c>
    </row>
    <row r="156" spans="1:5">
      <c r="A156" s="3" t="s">
        <v>358</v>
      </c>
      <c r="B156" s="11" t="s">
        <v>211</v>
      </c>
      <c r="C156" s="11" t="s">
        <v>337</v>
      </c>
      <c r="D156" s="12">
        <v>21</v>
      </c>
      <c r="E156" s="13">
        <v>13.519313304721031</v>
      </c>
    </row>
    <row r="157" spans="1:5">
      <c r="A157" s="3" t="s">
        <v>359</v>
      </c>
      <c r="B157" s="11" t="s">
        <v>211</v>
      </c>
      <c r="C157" s="11" t="s">
        <v>337</v>
      </c>
      <c r="D157" s="12">
        <v>22</v>
      </c>
      <c r="E157" s="13">
        <v>14.163090128755366</v>
      </c>
    </row>
    <row r="158" spans="1:5">
      <c r="A158" s="3" t="s">
        <v>360</v>
      </c>
      <c r="B158" s="11" t="s">
        <v>211</v>
      </c>
      <c r="C158" s="11" t="s">
        <v>337</v>
      </c>
      <c r="D158" s="12">
        <v>23</v>
      </c>
      <c r="E158" s="13">
        <v>14.806866952789701</v>
      </c>
    </row>
    <row r="159" spans="1:5">
      <c r="A159" s="3" t="s">
        <v>361</v>
      </c>
      <c r="B159" s="11" t="s">
        <v>211</v>
      </c>
      <c r="C159" s="11" t="s">
        <v>337</v>
      </c>
      <c r="D159" s="12">
        <v>24</v>
      </c>
      <c r="E159" s="13">
        <v>15.450643776824034</v>
      </c>
    </row>
    <row r="160" spans="1:5">
      <c r="A160" s="3" t="s">
        <v>362</v>
      </c>
      <c r="B160" s="11" t="s">
        <v>211</v>
      </c>
      <c r="C160" s="11" t="s">
        <v>337</v>
      </c>
      <c r="D160" s="12">
        <v>25</v>
      </c>
      <c r="E160" s="13">
        <v>16.094420600858371</v>
      </c>
    </row>
    <row r="161" spans="1:5">
      <c r="A161" s="3" t="s">
        <v>363</v>
      </c>
      <c r="B161" s="11" t="s">
        <v>211</v>
      </c>
      <c r="C161" s="11" t="s">
        <v>337</v>
      </c>
      <c r="D161" s="12">
        <v>26</v>
      </c>
      <c r="E161" s="13">
        <v>16.738197424892704</v>
      </c>
    </row>
    <row r="162" spans="1:5">
      <c r="A162" s="3" t="s">
        <v>364</v>
      </c>
      <c r="B162" s="11" t="s">
        <v>211</v>
      </c>
      <c r="C162" s="11" t="s">
        <v>337</v>
      </c>
      <c r="D162" s="12">
        <v>27</v>
      </c>
      <c r="E162" s="13">
        <v>17.38197424892704</v>
      </c>
    </row>
    <row r="163" spans="1:5">
      <c r="A163" s="3" t="s">
        <v>365</v>
      </c>
      <c r="B163" s="11" t="s">
        <v>211</v>
      </c>
      <c r="C163" s="11" t="s">
        <v>337</v>
      </c>
      <c r="D163" s="12">
        <v>28</v>
      </c>
      <c r="E163" s="13">
        <v>18.025751072961373</v>
      </c>
    </row>
    <row r="164" spans="1:5">
      <c r="A164" s="3" t="s">
        <v>366</v>
      </c>
      <c r="B164" s="11" t="s">
        <v>211</v>
      </c>
      <c r="C164" s="11" t="s">
        <v>337</v>
      </c>
      <c r="D164" s="12">
        <v>29</v>
      </c>
      <c r="E164" s="13">
        <v>18.66952789699571</v>
      </c>
    </row>
    <row r="165" spans="1:5">
      <c r="A165" s="3" t="s">
        <v>367</v>
      </c>
      <c r="B165" s="11" t="s">
        <v>211</v>
      </c>
      <c r="C165" s="11" t="s">
        <v>337</v>
      </c>
      <c r="D165" s="12">
        <v>30</v>
      </c>
      <c r="E165" s="13">
        <v>19.313304721030043</v>
      </c>
    </row>
    <row r="166" spans="1:5">
      <c r="A166" s="3" t="s">
        <v>368</v>
      </c>
      <c r="B166" s="11" t="s">
        <v>211</v>
      </c>
      <c r="C166" s="11" t="s">
        <v>337</v>
      </c>
      <c r="D166" s="12">
        <v>31</v>
      </c>
      <c r="E166" s="13">
        <v>19.95708154506438</v>
      </c>
    </row>
    <row r="167" spans="1:5">
      <c r="A167" s="3" t="s">
        <v>369</v>
      </c>
      <c r="B167" s="11" t="s">
        <v>211</v>
      </c>
      <c r="C167" s="11" t="s">
        <v>337</v>
      </c>
      <c r="D167" s="12">
        <v>32</v>
      </c>
      <c r="E167" s="13">
        <v>20.600858369098713</v>
      </c>
    </row>
    <row r="168" spans="1:5">
      <c r="A168" s="3" t="s">
        <v>370</v>
      </c>
      <c r="B168" s="11" t="s">
        <v>211</v>
      </c>
      <c r="C168" s="11" t="s">
        <v>337</v>
      </c>
      <c r="D168" s="12">
        <v>33</v>
      </c>
      <c r="E168" s="13">
        <v>21.244635193133046</v>
      </c>
    </row>
    <row r="169" spans="1:5">
      <c r="A169" s="3" t="s">
        <v>371</v>
      </c>
      <c r="B169" s="11" t="s">
        <v>211</v>
      </c>
      <c r="C169" s="11" t="s">
        <v>337</v>
      </c>
      <c r="D169" s="12">
        <v>34</v>
      </c>
      <c r="E169" s="13">
        <v>21.888412017167383</v>
      </c>
    </row>
    <row r="170" spans="1:5">
      <c r="A170" s="3" t="s">
        <v>372</v>
      </c>
      <c r="B170" s="11" t="s">
        <v>211</v>
      </c>
      <c r="C170" s="11" t="s">
        <v>337</v>
      </c>
      <c r="D170" s="12">
        <v>35</v>
      </c>
      <c r="E170" s="13">
        <v>22.532188841201716</v>
      </c>
    </row>
    <row r="171" spans="1:5">
      <c r="A171" s="3" t="s">
        <v>373</v>
      </c>
      <c r="B171" s="11" t="s">
        <v>211</v>
      </c>
      <c r="C171" s="11" t="s">
        <v>337</v>
      </c>
      <c r="D171" s="12">
        <v>36</v>
      </c>
      <c r="E171" s="13">
        <v>23.175965665236053</v>
      </c>
    </row>
    <row r="172" spans="1:5">
      <c r="A172" s="3" t="s">
        <v>374</v>
      </c>
      <c r="B172" s="11" t="s">
        <v>211</v>
      </c>
      <c r="C172" s="11" t="s">
        <v>337</v>
      </c>
      <c r="D172" s="12">
        <v>37</v>
      </c>
      <c r="E172" s="13">
        <v>23.819742489270386</v>
      </c>
    </row>
    <row r="173" spans="1:5">
      <c r="A173" s="3" t="s">
        <v>375</v>
      </c>
      <c r="B173" s="11" t="s">
        <v>211</v>
      </c>
      <c r="C173" s="11" t="s">
        <v>337</v>
      </c>
      <c r="D173" s="12">
        <v>38</v>
      </c>
      <c r="E173" s="13">
        <v>24.463519313304722</v>
      </c>
    </row>
    <row r="174" spans="1:5">
      <c r="A174" s="3" t="s">
        <v>376</v>
      </c>
      <c r="B174" s="11" t="s">
        <v>211</v>
      </c>
      <c r="C174" s="11" t="s">
        <v>337</v>
      </c>
      <c r="D174" s="12">
        <v>39</v>
      </c>
      <c r="E174" s="13">
        <v>25.107296137339056</v>
      </c>
    </row>
    <row r="175" spans="1:5">
      <c r="A175" s="3" t="s">
        <v>377</v>
      </c>
      <c r="B175" s="11" t="s">
        <v>211</v>
      </c>
      <c r="C175" s="11" t="s">
        <v>337</v>
      </c>
      <c r="D175" s="12">
        <v>40</v>
      </c>
      <c r="E175" s="13">
        <v>25.751072961373392</v>
      </c>
    </row>
    <row r="176" spans="1:5">
      <c r="A176" s="3" t="s">
        <v>378</v>
      </c>
      <c r="B176" s="11" t="s">
        <v>211</v>
      </c>
      <c r="C176" s="11" t="s">
        <v>337</v>
      </c>
      <c r="D176" s="12">
        <v>41</v>
      </c>
      <c r="E176" s="13">
        <v>26.394849785407725</v>
      </c>
    </row>
    <row r="177" spans="1:5">
      <c r="A177" s="3" t="s">
        <v>379</v>
      </c>
      <c r="B177" s="11" t="s">
        <v>211</v>
      </c>
      <c r="C177" s="11" t="s">
        <v>337</v>
      </c>
      <c r="D177" s="12">
        <v>42</v>
      </c>
      <c r="E177" s="13">
        <v>27.038626609442062</v>
      </c>
    </row>
    <row r="178" spans="1:5">
      <c r="A178" s="3" t="s">
        <v>380</v>
      </c>
      <c r="B178" s="11" t="s">
        <v>211</v>
      </c>
      <c r="C178" s="11" t="s">
        <v>337</v>
      </c>
      <c r="D178" s="12">
        <v>43</v>
      </c>
      <c r="E178" s="13">
        <v>27.682403433476395</v>
      </c>
    </row>
    <row r="179" spans="1:5">
      <c r="A179" s="3" t="s">
        <v>381</v>
      </c>
      <c r="B179" s="11" t="s">
        <v>211</v>
      </c>
      <c r="C179" s="11" t="s">
        <v>337</v>
      </c>
      <c r="D179" s="12">
        <v>44</v>
      </c>
      <c r="E179" s="13">
        <v>28.326180257510732</v>
      </c>
    </row>
    <row r="180" spans="1:5">
      <c r="A180" s="3" t="s">
        <v>382</v>
      </c>
      <c r="B180" s="11" t="s">
        <v>211</v>
      </c>
      <c r="C180" s="11" t="s">
        <v>337</v>
      </c>
      <c r="D180" s="12">
        <v>45</v>
      </c>
      <c r="E180" s="13">
        <v>28.969957081545065</v>
      </c>
    </row>
    <row r="181" spans="1:5">
      <c r="A181" s="3" t="s">
        <v>383</v>
      </c>
      <c r="B181" s="11" t="s">
        <v>211</v>
      </c>
      <c r="C181" s="11" t="s">
        <v>337</v>
      </c>
      <c r="D181" s="12">
        <v>46</v>
      </c>
      <c r="E181" s="13">
        <v>29.613733905579402</v>
      </c>
    </row>
    <row r="182" spans="1:5">
      <c r="A182" s="3" t="s">
        <v>384</v>
      </c>
      <c r="B182" s="11" t="s">
        <v>211</v>
      </c>
      <c r="C182" s="11" t="s">
        <v>337</v>
      </c>
      <c r="D182" s="12">
        <v>47</v>
      </c>
      <c r="E182" s="13">
        <v>30.257510729613735</v>
      </c>
    </row>
    <row r="183" spans="1:5">
      <c r="A183" s="3" t="s">
        <v>385</v>
      </c>
      <c r="B183" s="11" t="s">
        <v>211</v>
      </c>
      <c r="C183" s="11" t="s">
        <v>337</v>
      </c>
      <c r="D183" s="12">
        <v>48</v>
      </c>
      <c r="E183" s="13">
        <v>30.901287553648068</v>
      </c>
    </row>
    <row r="184" spans="1:5">
      <c r="A184" s="3" t="s">
        <v>386</v>
      </c>
      <c r="B184" s="11" t="s">
        <v>211</v>
      </c>
      <c r="C184" s="11" t="s">
        <v>337</v>
      </c>
      <c r="D184" s="12">
        <v>49</v>
      </c>
      <c r="E184" s="13">
        <v>31.545064377682404</v>
      </c>
    </row>
    <row r="185" spans="1:5">
      <c r="A185" s="3" t="s">
        <v>387</v>
      </c>
      <c r="B185" s="11" t="s">
        <v>211</v>
      </c>
      <c r="C185" s="11" t="s">
        <v>337</v>
      </c>
      <c r="D185" s="12">
        <v>50</v>
      </c>
      <c r="E185" s="13">
        <v>32.188841201716741</v>
      </c>
    </row>
    <row r="186" spans="1:5">
      <c r="A186" s="3" t="s">
        <v>388</v>
      </c>
      <c r="B186" s="11" t="s">
        <v>211</v>
      </c>
      <c r="C186" s="11" t="s">
        <v>337</v>
      </c>
      <c r="D186" s="12">
        <v>51</v>
      </c>
      <c r="E186" s="13">
        <v>32.832618025751074</v>
      </c>
    </row>
    <row r="187" spans="1:5">
      <c r="A187" s="3" t="s">
        <v>389</v>
      </c>
      <c r="B187" s="11" t="s">
        <v>211</v>
      </c>
      <c r="C187" s="11" t="s">
        <v>337</v>
      </c>
      <c r="D187" s="12">
        <v>52</v>
      </c>
      <c r="E187" s="13">
        <v>33.476394849785407</v>
      </c>
    </row>
    <row r="188" spans="1:5">
      <c r="A188" s="3" t="s">
        <v>390</v>
      </c>
      <c r="B188" s="11" t="s">
        <v>211</v>
      </c>
      <c r="C188" s="11" t="s">
        <v>337</v>
      </c>
      <c r="D188" s="12">
        <v>53</v>
      </c>
      <c r="E188" s="13">
        <v>34.12017167381974</v>
      </c>
    </row>
    <row r="189" spans="1:5">
      <c r="A189" s="3" t="s">
        <v>391</v>
      </c>
      <c r="B189" s="11" t="s">
        <v>211</v>
      </c>
      <c r="C189" s="11" t="s">
        <v>337</v>
      </c>
      <c r="D189" s="12">
        <v>54</v>
      </c>
      <c r="E189" s="13">
        <v>34.763948497854081</v>
      </c>
    </row>
    <row r="190" spans="1:5">
      <c r="A190" s="3" t="s">
        <v>392</v>
      </c>
      <c r="B190" s="11" t="s">
        <v>211</v>
      </c>
      <c r="C190" s="11" t="s">
        <v>337</v>
      </c>
      <c r="D190" s="12">
        <v>55</v>
      </c>
      <c r="E190" s="13">
        <v>35.407725321888414</v>
      </c>
    </row>
    <row r="191" spans="1:5">
      <c r="A191" s="3" t="s">
        <v>393</v>
      </c>
      <c r="B191" s="11" t="s">
        <v>211</v>
      </c>
      <c r="C191" s="11" t="s">
        <v>337</v>
      </c>
      <c r="D191" s="12">
        <v>56</v>
      </c>
      <c r="E191" s="13">
        <v>36.051502145922747</v>
      </c>
    </row>
    <row r="192" spans="1:5">
      <c r="A192" s="3" t="s">
        <v>394</v>
      </c>
      <c r="B192" s="11" t="s">
        <v>211</v>
      </c>
      <c r="C192" s="11" t="s">
        <v>337</v>
      </c>
      <c r="D192" s="12">
        <v>57</v>
      </c>
      <c r="E192" s="13">
        <v>36.69527896995708</v>
      </c>
    </row>
    <row r="193" spans="1:5">
      <c r="A193" s="3" t="s">
        <v>395</v>
      </c>
      <c r="B193" s="11" t="s">
        <v>211</v>
      </c>
      <c r="C193" s="11" t="s">
        <v>337</v>
      </c>
      <c r="D193" s="12">
        <v>58</v>
      </c>
      <c r="E193" s="13">
        <v>37.33905579399142</v>
      </c>
    </row>
    <row r="194" spans="1:5">
      <c r="A194" s="3" t="s">
        <v>396</v>
      </c>
      <c r="B194" s="11" t="s">
        <v>211</v>
      </c>
      <c r="C194" s="11" t="s">
        <v>337</v>
      </c>
      <c r="D194" s="12">
        <v>59</v>
      </c>
      <c r="E194" s="13">
        <v>37.982832618025753</v>
      </c>
    </row>
    <row r="195" spans="1:5">
      <c r="A195" s="3" t="s">
        <v>397</v>
      </c>
      <c r="B195" s="11" t="s">
        <v>211</v>
      </c>
      <c r="C195" s="11" t="s">
        <v>337</v>
      </c>
      <c r="D195" s="12">
        <v>60</v>
      </c>
      <c r="E195" s="13">
        <v>38.626609442060087</v>
      </c>
    </row>
    <row r="196" spans="1:5">
      <c r="A196" s="3" t="s">
        <v>398</v>
      </c>
      <c r="B196" s="11" t="s">
        <v>192</v>
      </c>
      <c r="C196" s="11" t="s">
        <v>99</v>
      </c>
      <c r="D196" s="12">
        <v>0</v>
      </c>
      <c r="E196" s="13">
        <v>0</v>
      </c>
    </row>
    <row r="197" spans="1:5">
      <c r="A197" s="3" t="s">
        <v>399</v>
      </c>
      <c r="B197" s="11" t="s">
        <v>192</v>
      </c>
      <c r="C197" s="11" t="s">
        <v>99</v>
      </c>
      <c r="D197" s="12">
        <v>1</v>
      </c>
      <c r="E197" s="13">
        <v>1.2618025751072961</v>
      </c>
    </row>
    <row r="198" spans="1:5">
      <c r="A198" s="3" t="s">
        <v>400</v>
      </c>
      <c r="B198" s="11" t="s">
        <v>192</v>
      </c>
      <c r="C198" s="11" t="s">
        <v>99</v>
      </c>
      <c r="D198" s="12">
        <v>2</v>
      </c>
      <c r="E198" s="13">
        <v>4.1278969957081548</v>
      </c>
    </row>
    <row r="199" spans="1:5">
      <c r="A199" s="3" t="s">
        <v>401</v>
      </c>
      <c r="B199" s="11" t="s">
        <v>192</v>
      </c>
      <c r="C199" s="11" t="s">
        <v>99</v>
      </c>
      <c r="D199" s="12">
        <v>3</v>
      </c>
      <c r="E199" s="13">
        <v>5.9665236051502148</v>
      </c>
    </row>
    <row r="200" spans="1:5">
      <c r="A200" s="3" t="s">
        <v>402</v>
      </c>
      <c r="B200" s="11" t="s">
        <v>192</v>
      </c>
      <c r="C200" s="11" t="s">
        <v>99</v>
      </c>
      <c r="D200" s="12">
        <v>4</v>
      </c>
      <c r="E200" s="13">
        <v>7.3828326180257511</v>
      </c>
    </row>
    <row r="201" spans="1:5">
      <c r="A201" s="3" t="s">
        <v>403</v>
      </c>
      <c r="B201" s="11" t="s">
        <v>192</v>
      </c>
      <c r="C201" s="11" t="s">
        <v>99</v>
      </c>
      <c r="D201" s="12">
        <v>5</v>
      </c>
      <c r="E201" s="13">
        <v>8.5673819742489279</v>
      </c>
    </row>
    <row r="202" spans="1:5">
      <c r="A202" s="3" t="s">
        <v>404</v>
      </c>
      <c r="B202" s="11" t="s">
        <v>192</v>
      </c>
      <c r="C202" s="11" t="s">
        <v>99</v>
      </c>
      <c r="D202" s="12">
        <v>6</v>
      </c>
      <c r="E202" s="13">
        <v>9.6077253218884113</v>
      </c>
    </row>
    <row r="203" spans="1:5">
      <c r="A203" s="3" t="s">
        <v>405</v>
      </c>
      <c r="B203" s="11" t="s">
        <v>192</v>
      </c>
      <c r="C203" s="11" t="s">
        <v>99</v>
      </c>
      <c r="D203" s="12">
        <v>7</v>
      </c>
      <c r="E203" s="13">
        <v>10.545064377682403</v>
      </c>
    </row>
    <row r="204" spans="1:5">
      <c r="A204" s="3" t="s">
        <v>406</v>
      </c>
      <c r="B204" s="11" t="s">
        <v>192</v>
      </c>
      <c r="C204" s="11" t="s">
        <v>99</v>
      </c>
      <c r="D204" s="12">
        <v>8</v>
      </c>
      <c r="E204" s="13">
        <v>11.407725321888412</v>
      </c>
    </row>
    <row r="205" spans="1:5">
      <c r="A205" s="3" t="s">
        <v>407</v>
      </c>
      <c r="B205" s="11" t="s">
        <v>192</v>
      </c>
      <c r="C205" s="11" t="s">
        <v>99</v>
      </c>
      <c r="D205" s="12">
        <v>9</v>
      </c>
      <c r="E205" s="13">
        <v>12.216309012875536</v>
      </c>
    </row>
    <row r="206" spans="1:5">
      <c r="A206" s="3" t="s">
        <v>408</v>
      </c>
      <c r="B206" s="11" t="s">
        <v>192</v>
      </c>
      <c r="C206" s="11" t="s">
        <v>99</v>
      </c>
      <c r="D206" s="12">
        <v>10</v>
      </c>
      <c r="E206" s="13">
        <v>12.981115879828327</v>
      </c>
    </row>
    <row r="207" spans="1:5">
      <c r="A207" s="3" t="s">
        <v>409</v>
      </c>
      <c r="B207" s="11" t="s">
        <v>192</v>
      </c>
      <c r="C207" s="11" t="s">
        <v>99</v>
      </c>
      <c r="D207" s="12">
        <v>11</v>
      </c>
      <c r="E207" s="13">
        <v>13.707296137339055</v>
      </c>
    </row>
    <row r="208" spans="1:5">
      <c r="A208" s="3" t="s">
        <v>410</v>
      </c>
      <c r="B208" s="11" t="s">
        <v>192</v>
      </c>
      <c r="C208" s="11" t="s">
        <v>99</v>
      </c>
      <c r="D208" s="12">
        <v>12</v>
      </c>
      <c r="E208" s="13">
        <v>14.405150214592275</v>
      </c>
    </row>
    <row r="209" spans="1:5">
      <c r="A209" s="3" t="s">
        <v>411</v>
      </c>
      <c r="B209" s="11" t="s">
        <v>192</v>
      </c>
      <c r="C209" s="11" t="s">
        <v>99</v>
      </c>
      <c r="D209" s="12">
        <v>13</v>
      </c>
      <c r="E209" s="13">
        <v>15.07725321888412</v>
      </c>
    </row>
    <row r="210" spans="1:5">
      <c r="A210" s="3" t="s">
        <v>412</v>
      </c>
      <c r="B210" s="11" t="s">
        <v>192</v>
      </c>
      <c r="C210" s="11" t="s">
        <v>99</v>
      </c>
      <c r="D210" s="12">
        <v>14</v>
      </c>
      <c r="E210" s="13">
        <v>15.728755364806867</v>
      </c>
    </row>
    <row r="211" spans="1:5">
      <c r="A211" s="3" t="s">
        <v>413</v>
      </c>
      <c r="B211" s="11" t="s">
        <v>192</v>
      </c>
      <c r="C211" s="11" t="s">
        <v>99</v>
      </c>
      <c r="D211" s="12">
        <v>15</v>
      </c>
      <c r="E211" s="13">
        <v>16.362231759656652</v>
      </c>
    </row>
    <row r="212" spans="1:5">
      <c r="A212" s="3" t="s">
        <v>414</v>
      </c>
      <c r="B212" s="11" t="s">
        <v>192</v>
      </c>
      <c r="C212" s="11" t="s">
        <v>99</v>
      </c>
      <c r="D212" s="12">
        <v>16</v>
      </c>
      <c r="E212" s="13">
        <v>16.980257510729611</v>
      </c>
    </row>
    <row r="213" spans="1:5">
      <c r="A213" s="3" t="s">
        <v>415</v>
      </c>
      <c r="B213" s="11" t="s">
        <v>192</v>
      </c>
      <c r="C213" s="11" t="s">
        <v>99</v>
      </c>
      <c r="D213" s="12">
        <v>17</v>
      </c>
      <c r="E213" s="13">
        <v>17.582832618025751</v>
      </c>
    </row>
    <row r="214" spans="1:5">
      <c r="A214" s="3" t="s">
        <v>416</v>
      </c>
      <c r="B214" s="11" t="s">
        <v>192</v>
      </c>
      <c r="C214" s="11" t="s">
        <v>99</v>
      </c>
      <c r="D214" s="12">
        <v>18</v>
      </c>
      <c r="E214" s="13">
        <v>18.175107296137341</v>
      </c>
    </row>
    <row r="215" spans="1:5">
      <c r="A215" s="3" t="s">
        <v>417</v>
      </c>
      <c r="B215" s="11" t="s">
        <v>192</v>
      </c>
      <c r="C215" s="11" t="s">
        <v>99</v>
      </c>
      <c r="D215" s="12">
        <v>19</v>
      </c>
      <c r="E215" s="13">
        <v>18.754506437768239</v>
      </c>
    </row>
    <row r="216" spans="1:5">
      <c r="A216" s="3" t="s">
        <v>418</v>
      </c>
      <c r="B216" s="11" t="s">
        <v>192</v>
      </c>
      <c r="C216" s="11" t="s">
        <v>99</v>
      </c>
      <c r="D216" s="12">
        <v>20</v>
      </c>
      <c r="E216" s="13">
        <v>19.32360515021459</v>
      </c>
    </row>
    <row r="217" spans="1:5">
      <c r="A217" s="3" t="s">
        <v>419</v>
      </c>
      <c r="B217" s="11" t="s">
        <v>192</v>
      </c>
      <c r="C217" s="11" t="s">
        <v>99</v>
      </c>
      <c r="D217" s="12">
        <v>21</v>
      </c>
      <c r="E217" s="13">
        <v>19.884978540772533</v>
      </c>
    </row>
    <row r="218" spans="1:5">
      <c r="A218" s="3" t="s">
        <v>420</v>
      </c>
      <c r="B218" s="11" t="s">
        <v>192</v>
      </c>
      <c r="C218" s="11" t="s">
        <v>99</v>
      </c>
      <c r="D218" s="12">
        <v>22</v>
      </c>
      <c r="E218" s="13">
        <v>20.438626609442061</v>
      </c>
    </row>
    <row r="219" spans="1:5">
      <c r="A219" s="3" t="s">
        <v>421</v>
      </c>
      <c r="B219" s="11" t="s">
        <v>192</v>
      </c>
      <c r="C219" s="11" t="s">
        <v>99</v>
      </c>
      <c r="D219" s="12">
        <v>23</v>
      </c>
      <c r="E219" s="13">
        <v>20.981974248927038</v>
      </c>
    </row>
    <row r="220" spans="1:5">
      <c r="A220" s="3" t="s">
        <v>422</v>
      </c>
      <c r="B220" s="11" t="s">
        <v>192</v>
      </c>
      <c r="C220" s="11" t="s">
        <v>99</v>
      </c>
      <c r="D220" s="12">
        <v>24</v>
      </c>
      <c r="E220" s="13">
        <v>21.520171673819743</v>
      </c>
    </row>
    <row r="221" spans="1:5">
      <c r="A221" s="3" t="s">
        <v>423</v>
      </c>
      <c r="B221" s="11" t="s">
        <v>192</v>
      </c>
      <c r="C221" s="11" t="s">
        <v>99</v>
      </c>
      <c r="D221" s="12">
        <v>25</v>
      </c>
      <c r="E221" s="13">
        <v>22.05321888412017</v>
      </c>
    </row>
    <row r="222" spans="1:5">
      <c r="A222" s="3" t="s">
        <v>424</v>
      </c>
      <c r="B222" s="11" t="s">
        <v>192</v>
      </c>
      <c r="C222" s="11" t="s">
        <v>99</v>
      </c>
      <c r="D222" s="12">
        <v>26</v>
      </c>
      <c r="E222" s="13">
        <v>22.581115879828324</v>
      </c>
    </row>
    <row r="223" spans="1:5">
      <c r="A223" s="3" t="s">
        <v>425</v>
      </c>
      <c r="B223" s="11" t="s">
        <v>192</v>
      </c>
      <c r="C223" s="11" t="s">
        <v>99</v>
      </c>
      <c r="D223" s="12">
        <v>27</v>
      </c>
      <c r="E223" s="13">
        <v>23.101287553648071</v>
      </c>
    </row>
    <row r="224" spans="1:5">
      <c r="A224" s="3" t="s">
        <v>426</v>
      </c>
      <c r="B224" s="11" t="s">
        <v>192</v>
      </c>
      <c r="C224" s="11" t="s">
        <v>99</v>
      </c>
      <c r="D224" s="12">
        <v>28</v>
      </c>
      <c r="E224" s="13">
        <v>23.618884120171675</v>
      </c>
    </row>
    <row r="225" spans="1:5">
      <c r="A225" s="3" t="s">
        <v>427</v>
      </c>
      <c r="B225" s="11" t="s">
        <v>192</v>
      </c>
      <c r="C225" s="11" t="s">
        <v>99</v>
      </c>
      <c r="D225" s="12">
        <v>29</v>
      </c>
      <c r="E225" s="13">
        <v>24.131330472103006</v>
      </c>
    </row>
    <row r="226" spans="1:5">
      <c r="A226" s="3" t="s">
        <v>428</v>
      </c>
      <c r="B226" s="11" t="s">
        <v>192</v>
      </c>
      <c r="C226" s="11" t="s">
        <v>99</v>
      </c>
      <c r="D226" s="12">
        <v>30</v>
      </c>
      <c r="E226" s="13">
        <v>24.63862660944206</v>
      </c>
    </row>
    <row r="227" spans="1:5">
      <c r="A227" s="3" t="s">
        <v>429</v>
      </c>
      <c r="B227" s="11" t="s">
        <v>192</v>
      </c>
      <c r="C227" s="11" t="s">
        <v>99</v>
      </c>
      <c r="D227" s="12">
        <v>31</v>
      </c>
      <c r="E227" s="13">
        <v>25.140772532188844</v>
      </c>
    </row>
    <row r="228" spans="1:5">
      <c r="A228" s="3" t="s">
        <v>430</v>
      </c>
      <c r="B228" s="11" t="s">
        <v>192</v>
      </c>
      <c r="C228" s="11" t="s">
        <v>99</v>
      </c>
      <c r="D228" s="12">
        <v>32</v>
      </c>
      <c r="E228" s="13">
        <v>25.640343347639487</v>
      </c>
    </row>
    <row r="229" spans="1:5">
      <c r="A229" s="3" t="s">
        <v>431</v>
      </c>
      <c r="B229" s="11" t="s">
        <v>192</v>
      </c>
      <c r="C229" s="11" t="s">
        <v>99</v>
      </c>
      <c r="D229" s="12">
        <v>33</v>
      </c>
      <c r="E229" s="13">
        <v>26.137339055793991</v>
      </c>
    </row>
    <row r="230" spans="1:5">
      <c r="A230" s="3" t="s">
        <v>432</v>
      </c>
      <c r="B230" s="11" t="s">
        <v>192</v>
      </c>
      <c r="C230" s="11" t="s">
        <v>99</v>
      </c>
      <c r="D230" s="12">
        <v>34</v>
      </c>
      <c r="E230" s="13">
        <v>26.631759656652363</v>
      </c>
    </row>
    <row r="231" spans="1:5">
      <c r="A231" s="3" t="s">
        <v>433</v>
      </c>
      <c r="B231" s="11" t="s">
        <v>192</v>
      </c>
      <c r="C231" s="11" t="s">
        <v>99</v>
      </c>
      <c r="D231" s="12">
        <v>35</v>
      </c>
      <c r="E231" s="13">
        <v>27.121030042918456</v>
      </c>
    </row>
    <row r="232" spans="1:5">
      <c r="A232" s="3" t="s">
        <v>434</v>
      </c>
      <c r="B232" s="11" t="s">
        <v>192</v>
      </c>
      <c r="C232" s="11" t="s">
        <v>99</v>
      </c>
      <c r="D232" s="12">
        <v>36</v>
      </c>
      <c r="E232" s="13">
        <v>27.607725321888413</v>
      </c>
    </row>
    <row r="233" spans="1:5">
      <c r="A233" s="3" t="s">
        <v>435</v>
      </c>
      <c r="B233" s="11" t="s">
        <v>192</v>
      </c>
      <c r="C233" s="11" t="s">
        <v>99</v>
      </c>
      <c r="D233" s="12">
        <v>37</v>
      </c>
      <c r="E233" s="13">
        <v>28.091845493562232</v>
      </c>
    </row>
    <row r="234" spans="1:5">
      <c r="A234" s="3" t="s">
        <v>436</v>
      </c>
      <c r="B234" s="11" t="s">
        <v>192</v>
      </c>
      <c r="C234" s="11" t="s">
        <v>99</v>
      </c>
      <c r="D234" s="12">
        <v>38</v>
      </c>
      <c r="E234" s="13">
        <v>28.573390557939913</v>
      </c>
    </row>
    <row r="235" spans="1:5">
      <c r="A235" s="3" t="s">
        <v>437</v>
      </c>
      <c r="B235" s="11" t="s">
        <v>192</v>
      </c>
      <c r="C235" s="11" t="s">
        <v>99</v>
      </c>
      <c r="D235" s="12">
        <v>39</v>
      </c>
      <c r="E235" s="13">
        <v>29.052360515021459</v>
      </c>
    </row>
    <row r="236" spans="1:5">
      <c r="A236" s="3" t="s">
        <v>438</v>
      </c>
      <c r="B236" s="11" t="s">
        <v>192</v>
      </c>
      <c r="C236" s="11" t="s">
        <v>99</v>
      </c>
      <c r="D236" s="12">
        <v>40</v>
      </c>
      <c r="E236" s="13">
        <v>29.531330472103004</v>
      </c>
    </row>
    <row r="237" spans="1:5">
      <c r="A237" s="3" t="s">
        <v>439</v>
      </c>
      <c r="B237" s="11" t="s">
        <v>192</v>
      </c>
      <c r="C237" s="11" t="s">
        <v>101</v>
      </c>
      <c r="D237" s="12">
        <v>0</v>
      </c>
      <c r="E237" s="13">
        <v>0</v>
      </c>
    </row>
    <row r="238" spans="1:5">
      <c r="A238" s="3" t="s">
        <v>440</v>
      </c>
      <c r="B238" s="11" t="s">
        <v>192</v>
      </c>
      <c r="C238" s="11" t="s">
        <v>101</v>
      </c>
      <c r="D238" s="12">
        <v>1</v>
      </c>
      <c r="E238" s="13">
        <v>0.21419140343483287</v>
      </c>
    </row>
    <row r="239" spans="1:5">
      <c r="A239" s="3" t="s">
        <v>441</v>
      </c>
      <c r="B239" s="11" t="s">
        <v>192</v>
      </c>
      <c r="C239" s="11" t="s">
        <v>101</v>
      </c>
      <c r="D239" s="12">
        <v>2</v>
      </c>
      <c r="E239" s="13">
        <v>0.33948534242104678</v>
      </c>
    </row>
    <row r="240" spans="1:5">
      <c r="A240" s="3" t="s">
        <v>442</v>
      </c>
      <c r="B240" s="11" t="s">
        <v>192</v>
      </c>
      <c r="C240" s="11" t="s">
        <v>101</v>
      </c>
      <c r="D240" s="12">
        <v>3</v>
      </c>
      <c r="E240" s="13">
        <v>0.42838280686966573</v>
      </c>
    </row>
    <row r="241" spans="1:5">
      <c r="A241" s="3" t="s">
        <v>443</v>
      </c>
      <c r="B241" s="11" t="s">
        <v>192</v>
      </c>
      <c r="C241" s="11" t="s">
        <v>101</v>
      </c>
      <c r="D241" s="12">
        <v>4</v>
      </c>
      <c r="E241" s="13">
        <v>0.49733703731869189</v>
      </c>
    </row>
    <row r="242" spans="1:5">
      <c r="A242" s="3" t="s">
        <v>444</v>
      </c>
      <c r="B242" s="11" t="s">
        <v>192</v>
      </c>
      <c r="C242" s="11" t="s">
        <v>101</v>
      </c>
      <c r="D242" s="12">
        <v>5</v>
      </c>
      <c r="E242" s="23">
        <v>0.55367674585587956</v>
      </c>
    </row>
    <row r="243" spans="1:5">
      <c r="A243" s="3" t="s">
        <v>445</v>
      </c>
      <c r="B243" s="11" t="s">
        <v>192</v>
      </c>
      <c r="C243" s="11" t="s">
        <v>101</v>
      </c>
      <c r="D243" s="12">
        <v>6</v>
      </c>
      <c r="E243" s="13">
        <v>0.60131129069520406</v>
      </c>
    </row>
    <row r="244" spans="1:5">
      <c r="A244" s="3" t="s">
        <v>446</v>
      </c>
      <c r="B244" s="11" t="s">
        <v>192</v>
      </c>
      <c r="C244" s="11" t="s">
        <v>101</v>
      </c>
      <c r="D244" s="12">
        <v>7</v>
      </c>
      <c r="E244" s="13">
        <v>0.64257421030449857</v>
      </c>
    </row>
    <row r="245" spans="1:5">
      <c r="A245" s="3" t="s">
        <v>447</v>
      </c>
      <c r="B245" s="11" t="s">
        <v>192</v>
      </c>
      <c r="C245" s="11" t="s">
        <v>101</v>
      </c>
      <c r="D245" s="12">
        <v>8</v>
      </c>
      <c r="E245" s="13">
        <v>0.67897068484209355</v>
      </c>
    </row>
    <row r="246" spans="1:5">
      <c r="A246" s="3" t="s">
        <v>448</v>
      </c>
      <c r="B246" s="11" t="s">
        <v>192</v>
      </c>
      <c r="C246" s="11" t="s">
        <v>101</v>
      </c>
      <c r="D246" s="12">
        <v>9</v>
      </c>
      <c r="E246" s="13">
        <v>0.71152844075352495</v>
      </c>
    </row>
    <row r="247" spans="1:5">
      <c r="A247" s="3" t="s">
        <v>449</v>
      </c>
      <c r="B247" s="11" t="s">
        <v>192</v>
      </c>
      <c r="C247" s="11" t="s">
        <v>101</v>
      </c>
      <c r="D247" s="12">
        <v>10</v>
      </c>
      <c r="E247" s="13">
        <v>0.74098051348275829</v>
      </c>
    </row>
    <row r="248" spans="1:5">
      <c r="A248" s="3" t="s">
        <v>450</v>
      </c>
      <c r="B248" s="11" t="s">
        <v>192</v>
      </c>
      <c r="C248" s="11" t="s">
        <v>101</v>
      </c>
      <c r="D248" s="12">
        <v>11</v>
      </c>
      <c r="E248" s="13">
        <v>0.76786814929071245</v>
      </c>
    </row>
    <row r="249" spans="1:5">
      <c r="A249" s="3" t="s">
        <v>451</v>
      </c>
      <c r="B249" s="11" t="s">
        <v>192</v>
      </c>
      <c r="C249" s="11" t="s">
        <v>101</v>
      </c>
      <c r="D249" s="12">
        <v>12</v>
      </c>
      <c r="E249" s="13">
        <v>0.79260237655463794</v>
      </c>
    </row>
    <row r="250" spans="1:5">
      <c r="A250" s="3" t="s">
        <v>452</v>
      </c>
      <c r="B250" s="11" t="s">
        <v>192</v>
      </c>
      <c r="C250" s="11" t="s">
        <v>101</v>
      </c>
      <c r="D250" s="12">
        <v>13</v>
      </c>
      <c r="E250" s="13">
        <v>0.81550269413003695</v>
      </c>
    </row>
    <row r="251" spans="1:5">
      <c r="A251" s="3" t="s">
        <v>453</v>
      </c>
      <c r="B251" s="11" t="s">
        <v>192</v>
      </c>
      <c r="C251" s="11" t="s">
        <v>101</v>
      </c>
      <c r="D251" s="12">
        <v>14</v>
      </c>
      <c r="E251" s="13">
        <v>0.83682237973973872</v>
      </c>
    </row>
    <row r="252" spans="1:5">
      <c r="A252" s="3" t="s">
        <v>454</v>
      </c>
      <c r="B252" s="11" t="s">
        <v>192</v>
      </c>
      <c r="C252" s="11" t="s">
        <v>101</v>
      </c>
      <c r="D252" s="12">
        <v>15</v>
      </c>
      <c r="E252" s="23">
        <v>0.85676561373933147</v>
      </c>
    </row>
    <row r="253" spans="1:5">
      <c r="A253" s="3" t="s">
        <v>455</v>
      </c>
      <c r="B253" s="11" t="s">
        <v>192</v>
      </c>
      <c r="C253" s="11" t="s">
        <v>101</v>
      </c>
      <c r="D253" s="12">
        <v>16</v>
      </c>
      <c r="E253" s="13">
        <v>0.87549940245513969</v>
      </c>
    </row>
    <row r="254" spans="1:5">
      <c r="A254" s="3" t="s">
        <v>456</v>
      </c>
      <c r="B254" s="11" t="s">
        <v>192</v>
      </c>
      <c r="C254" s="11" t="s">
        <v>101</v>
      </c>
      <c r="D254" s="12">
        <v>17</v>
      </c>
      <c r="E254" s="13">
        <v>0.89316208827692634</v>
      </c>
    </row>
    <row r="255" spans="1:5">
      <c r="A255" s="3" t="s">
        <v>457</v>
      </c>
      <c r="B255" s="11" t="s">
        <v>192</v>
      </c>
      <c r="C255" s="11" t="s">
        <v>101</v>
      </c>
      <c r="D255" s="12">
        <v>18</v>
      </c>
      <c r="E255" s="13">
        <v>0.90986955579392137</v>
      </c>
    </row>
    <row r="256" spans="1:5">
      <c r="A256" s="3" t="s">
        <v>458</v>
      </c>
      <c r="B256" s="11" t="s">
        <v>192</v>
      </c>
      <c r="C256" s="11" t="s">
        <v>101</v>
      </c>
      <c r="D256" s="12">
        <v>19</v>
      </c>
      <c r="E256" s="13">
        <v>0.92571984418835773</v>
      </c>
    </row>
    <row r="257" spans="1:5">
      <c r="A257" s="3" t="s">
        <v>459</v>
      </c>
      <c r="B257" s="11" t="s">
        <v>192</v>
      </c>
      <c r="C257" s="11" t="s">
        <v>101</v>
      </c>
      <c r="D257" s="12">
        <v>20</v>
      </c>
      <c r="E257" s="13">
        <v>0.94079663311625095</v>
      </c>
    </row>
    <row r="258" spans="1:5">
      <c r="A258" s="3" t="s">
        <v>460</v>
      </c>
      <c r="B258" s="11" t="s">
        <v>192</v>
      </c>
      <c r="C258" s="11" t="s">
        <v>101</v>
      </c>
      <c r="D258" s="12">
        <v>21</v>
      </c>
      <c r="E258" s="13">
        <v>0.95517191691759107</v>
      </c>
    </row>
    <row r="259" spans="1:5">
      <c r="A259" s="3" t="s">
        <v>461</v>
      </c>
      <c r="B259" s="11" t="s">
        <v>192</v>
      </c>
      <c r="C259" s="11" t="s">
        <v>101</v>
      </c>
      <c r="D259" s="12">
        <v>22</v>
      </c>
      <c r="E259" s="13">
        <v>0.96890808389226946</v>
      </c>
    </row>
    <row r="260" spans="1:5">
      <c r="A260" s="3" t="s">
        <v>462</v>
      </c>
      <c r="B260" s="11" t="s">
        <v>192</v>
      </c>
      <c r="C260" s="11" t="s">
        <v>101</v>
      </c>
      <c r="D260" s="12">
        <v>23</v>
      </c>
      <c r="E260" s="13">
        <v>0.98205955272554535</v>
      </c>
    </row>
    <row r="261" spans="1:5">
      <c r="A261" s="3" t="s">
        <v>463</v>
      </c>
      <c r="B261" s="11" t="s">
        <v>192</v>
      </c>
      <c r="C261" s="11" t="s">
        <v>101</v>
      </c>
      <c r="D261" s="12">
        <v>24</v>
      </c>
      <c r="E261" s="13">
        <v>0.99467407463738378</v>
      </c>
    </row>
    <row r="262" spans="1:5">
      <c r="A262" s="3" t="s">
        <v>464</v>
      </c>
      <c r="B262" s="11" t="s">
        <v>192</v>
      </c>
      <c r="C262" s="11" t="s">
        <v>101</v>
      </c>
      <c r="D262" s="12">
        <v>25</v>
      </c>
      <c r="E262" s="23">
        <v>1.0067937799894708</v>
      </c>
    </row>
    <row r="263" spans="1:5">
      <c r="A263" s="3" t="s">
        <v>465</v>
      </c>
      <c r="B263" s="11" t="s">
        <v>192</v>
      </c>
      <c r="C263" s="11" t="s">
        <v>101</v>
      </c>
      <c r="D263" s="12">
        <v>26</v>
      </c>
      <c r="E263" s="13">
        <v>1.0184560272631404</v>
      </c>
    </row>
    <row r="264" spans="1:5">
      <c r="A264" s="3" t="s">
        <v>466</v>
      </c>
      <c r="B264" s="11" t="s">
        <v>192</v>
      </c>
      <c r="C264" s="11" t="s">
        <v>101</v>
      </c>
      <c r="D264" s="12">
        <v>27</v>
      </c>
      <c r="E264" s="13">
        <v>1.0296940975648698</v>
      </c>
    </row>
    <row r="265" spans="1:5">
      <c r="A265" s="3" t="s">
        <v>467</v>
      </c>
      <c r="B265" s="11" t="s">
        <v>192</v>
      </c>
      <c r="C265" s="11" t="s">
        <v>101</v>
      </c>
      <c r="D265" s="12">
        <v>28</v>
      </c>
      <c r="E265" s="13">
        <v>1.0405377672061207</v>
      </c>
    </row>
    <row r="266" spans="1:5">
      <c r="A266" s="3" t="s">
        <v>468</v>
      </c>
      <c r="B266" s="11" t="s">
        <v>192</v>
      </c>
      <c r="C266" s="11" t="s">
        <v>101</v>
      </c>
      <c r="D266" s="12">
        <v>29</v>
      </c>
      <c r="E266" s="13">
        <v>1.0510137831745716</v>
      </c>
    </row>
    <row r="267" spans="1:5">
      <c r="A267" s="3" t="s">
        <v>469</v>
      </c>
      <c r="B267" s="11" t="s">
        <v>192</v>
      </c>
      <c r="C267" s="11" t="s">
        <v>101</v>
      </c>
      <c r="D267" s="12">
        <v>30</v>
      </c>
      <c r="E267" s="13">
        <v>1.0611462606134359</v>
      </c>
    </row>
    <row r="268" spans="1:5">
      <c r="A268" s="3" t="s">
        <v>470</v>
      </c>
      <c r="B268" s="11" t="s">
        <v>192</v>
      </c>
      <c r="C268" s="11" t="s">
        <v>101</v>
      </c>
      <c r="D268" s="12">
        <v>31</v>
      </c>
      <c r="E268" s="13">
        <v>1.0709570171741645</v>
      </c>
    </row>
    <row r="269" spans="1:5">
      <c r="A269" s="3" t="s">
        <v>471</v>
      </c>
      <c r="B269" s="11" t="s">
        <v>192</v>
      </c>
      <c r="C269" s="11" t="s">
        <v>101</v>
      </c>
      <c r="D269" s="12">
        <v>32</v>
      </c>
      <c r="E269" s="13">
        <v>1.0804658559038047</v>
      </c>
    </row>
    <row r="270" spans="1:5">
      <c r="A270" s="3" t="s">
        <v>472</v>
      </c>
      <c r="B270" s="11" t="s">
        <v>192</v>
      </c>
      <c r="C270" s="11" t="s">
        <v>101</v>
      </c>
      <c r="D270" s="12">
        <v>33</v>
      </c>
      <c r="E270" s="13">
        <v>1.0896908058899726</v>
      </c>
    </row>
    <row r="271" spans="1:5">
      <c r="A271" s="3" t="s">
        <v>473</v>
      </c>
      <c r="B271" s="11" t="s">
        <v>192</v>
      </c>
      <c r="C271" s="11" t="s">
        <v>101</v>
      </c>
      <c r="D271" s="12">
        <v>34</v>
      </c>
      <c r="E271" s="13">
        <v>1.0986483280138961</v>
      </c>
    </row>
    <row r="272" spans="1:5">
      <c r="A272" s="3" t="s">
        <v>474</v>
      </c>
      <c r="B272" s="11" t="s">
        <v>192</v>
      </c>
      <c r="C272" s="11" t="s">
        <v>101</v>
      </c>
      <c r="D272" s="12">
        <v>35</v>
      </c>
      <c r="E272" s="23">
        <v>1.1073534917117591</v>
      </c>
    </row>
    <row r="273" spans="1:5">
      <c r="A273" s="3" t="s">
        <v>475</v>
      </c>
      <c r="B273" s="11" t="s">
        <v>192</v>
      </c>
      <c r="C273" s="11" t="s">
        <v>101</v>
      </c>
      <c r="D273" s="12">
        <v>36</v>
      </c>
      <c r="E273" s="13">
        <v>1.1158201275123782</v>
      </c>
    </row>
    <row r="274" spans="1:5">
      <c r="A274" s="3" t="s">
        <v>476</v>
      </c>
      <c r="B274" s="11" t="s">
        <v>192</v>
      </c>
      <c r="C274" s="11" t="s">
        <v>101</v>
      </c>
      <c r="D274" s="12">
        <v>37</v>
      </c>
      <c r="E274" s="13">
        <v>1.1240609592287543</v>
      </c>
    </row>
    <row r="275" spans="1:5">
      <c r="A275" s="3" t="s">
        <v>477</v>
      </c>
      <c r="B275" s="11" t="s">
        <v>192</v>
      </c>
      <c r="C275" s="11" t="s">
        <v>101</v>
      </c>
      <c r="D275" s="12">
        <v>38</v>
      </c>
      <c r="E275" s="13">
        <v>1.1320877189756848</v>
      </c>
    </row>
    <row r="276" spans="1:5">
      <c r="A276" s="3" t="s">
        <v>478</v>
      </c>
      <c r="B276" s="11" t="s">
        <v>192</v>
      </c>
      <c r="C276" s="11" t="s">
        <v>101</v>
      </c>
      <c r="D276" s="12">
        <v>39</v>
      </c>
      <c r="E276" s="13">
        <v>1.1399112476231905</v>
      </c>
    </row>
    <row r="277" spans="1:5">
      <c r="A277" s="3" t="s">
        <v>479</v>
      </c>
      <c r="B277" s="11" t="s">
        <v>192</v>
      </c>
      <c r="C277" s="11" t="s">
        <v>101</v>
      </c>
      <c r="D277" s="12">
        <v>40</v>
      </c>
      <c r="E277" s="13">
        <v>1.1475415828442495</v>
      </c>
    </row>
    <row r="278" spans="1:5">
      <c r="A278" s="3" t="s">
        <v>480</v>
      </c>
      <c r="B278" s="11" t="s">
        <v>192</v>
      </c>
      <c r="C278" s="11" t="s">
        <v>101</v>
      </c>
      <c r="D278" s="12">
        <v>41</v>
      </c>
      <c r="E278" s="13">
        <v>1.1549880365510836</v>
      </c>
    </row>
    <row r="279" spans="1:5">
      <c r="A279" s="3" t="s">
        <v>481</v>
      </c>
      <c r="B279" s="11" t="s">
        <v>192</v>
      </c>
      <c r="C279" s="11" t="s">
        <v>101</v>
      </c>
      <c r="D279" s="12">
        <v>42</v>
      </c>
      <c r="E279" s="13">
        <v>1.1622592632186115</v>
      </c>
    </row>
    <row r="280" spans="1:5">
      <c r="A280" s="3" t="s">
        <v>482</v>
      </c>
      <c r="B280" s="11" t="s">
        <v>192</v>
      </c>
      <c r="C280" s="11" t="s">
        <v>101</v>
      </c>
      <c r="D280" s="12">
        <v>43</v>
      </c>
      <c r="E280" s="13">
        <v>1.1693633203524239</v>
      </c>
    </row>
    <row r="281" spans="1:5">
      <c r="A281" s="3" t="s">
        <v>483</v>
      </c>
      <c r="B281" s="11" t="s">
        <v>192</v>
      </c>
      <c r="C281" s="11" t="s">
        <v>101</v>
      </c>
      <c r="D281" s="12">
        <v>44</v>
      </c>
      <c r="E281" s="13">
        <v>1.1763077221607856</v>
      </c>
    </row>
    <row r="282" spans="1:5">
      <c r="A282" s="3" t="s">
        <v>484</v>
      </c>
      <c r="B282" s="11" t="s">
        <v>192</v>
      </c>
      <c r="C282" s="11" t="s">
        <v>101</v>
      </c>
      <c r="D282" s="12">
        <v>45</v>
      </c>
      <c r="E282" s="23">
        <v>1.1830994873271024</v>
      </c>
    </row>
    <row r="283" spans="1:5">
      <c r="A283" s="3" t="s">
        <v>485</v>
      </c>
      <c r="B283" s="11" t="s">
        <v>192</v>
      </c>
      <c r="C283" s="11" t="s">
        <v>101</v>
      </c>
      <c r="D283" s="12">
        <v>46</v>
      </c>
      <c r="E283" s="13">
        <v>1.1897451816443099</v>
      </c>
    </row>
    <row r="284" spans="1:5">
      <c r="A284" s="3" t="s">
        <v>486</v>
      </c>
      <c r="B284" s="11" t="s">
        <v>192</v>
      </c>
      <c r="C284" s="11" t="s">
        <v>101</v>
      </c>
      <c r="D284" s="12">
        <v>47</v>
      </c>
      <c r="E284" s="13">
        <v>1.1962509561603782</v>
      </c>
    </row>
    <row r="285" spans="1:5">
      <c r="A285" s="3" t="s">
        <v>487</v>
      </c>
      <c r="B285" s="11" t="s">
        <v>192</v>
      </c>
      <c r="C285" s="11" t="s">
        <v>101</v>
      </c>
      <c r="D285" s="12">
        <v>48</v>
      </c>
      <c r="E285" s="13">
        <v>1.2026225813904081</v>
      </c>
    </row>
    <row r="286" spans="1:5">
      <c r="A286" s="3" t="s">
        <v>488</v>
      </c>
      <c r="B286" s="11" t="s">
        <v>192</v>
      </c>
      <c r="C286" s="11" t="s">
        <v>101</v>
      </c>
      <c r="D286" s="12">
        <v>49</v>
      </c>
      <c r="E286" s="13">
        <v>1.2088654780722166</v>
      </c>
    </row>
    <row r="287" spans="1:5">
      <c r="A287" s="3" t="s">
        <v>489</v>
      </c>
      <c r="B287" s="11" t="s">
        <v>192</v>
      </c>
      <c r="C287" s="11" t="s">
        <v>101</v>
      </c>
      <c r="D287" s="12">
        <v>50</v>
      </c>
      <c r="E287" s="13">
        <v>1.2149847448761864</v>
      </c>
    </row>
    <row r="288" spans="1:5">
      <c r="A288" s="3" t="s">
        <v>490</v>
      </c>
      <c r="B288" s="11" t="s">
        <v>192</v>
      </c>
      <c r="C288" s="11" t="s">
        <v>101</v>
      </c>
      <c r="D288" s="12">
        <v>51</v>
      </c>
      <c r="E288" s="13">
        <v>1.2209851834243037</v>
      </c>
    </row>
    <row r="289" spans="1:5">
      <c r="A289" s="3" t="s">
        <v>491</v>
      </c>
      <c r="B289" s="11" t="s">
        <v>192</v>
      </c>
      <c r="C289" s="11" t="s">
        <v>101</v>
      </c>
      <c r="D289" s="12">
        <v>52</v>
      </c>
      <c r="E289" s="13">
        <v>1.2268713209259774</v>
      </c>
    </row>
    <row r="290" spans="1:5">
      <c r="A290" s="3" t="s">
        <v>492</v>
      </c>
      <c r="B290" s="11" t="s">
        <v>192</v>
      </c>
      <c r="C290" s="11" t="s">
        <v>101</v>
      </c>
      <c r="D290" s="12">
        <v>53</v>
      </c>
      <c r="E290" s="13">
        <v>1.2326474306979731</v>
      </c>
    </row>
    <row r="291" spans="1:5">
      <c r="A291" s="3" t="s">
        <v>493</v>
      </c>
      <c r="B291" s="11" t="s">
        <v>192</v>
      </c>
      <c r="C291" s="11" t="s">
        <v>101</v>
      </c>
      <c r="D291" s="12">
        <v>54</v>
      </c>
      <c r="E291" s="13">
        <v>1.2383175508014503</v>
      </c>
    </row>
    <row r="292" spans="1:5">
      <c r="A292" s="3" t="s">
        <v>494</v>
      </c>
      <c r="B292" s="11" t="s">
        <v>192</v>
      </c>
      <c r="C292" s="11" t="s">
        <v>101</v>
      </c>
      <c r="D292" s="12">
        <v>55</v>
      </c>
      <c r="E292" s="13">
        <v>1.243885500999703</v>
      </c>
    </row>
    <row r="293" spans="1:5">
      <c r="A293" s="3" t="s">
        <v>495</v>
      </c>
      <c r="B293" s="11" t="s">
        <v>192</v>
      </c>
      <c r="C293" s="11" t="s">
        <v>101</v>
      </c>
      <c r="D293" s="12">
        <v>56</v>
      </c>
      <c r="E293" s="13">
        <v>1.249354898214968</v>
      </c>
    </row>
    <row r="294" spans="1:5">
      <c r="A294" s="3" t="s">
        <v>496</v>
      </c>
      <c r="B294" s="11" t="s">
        <v>192</v>
      </c>
      <c r="C294" s="11" t="s">
        <v>101</v>
      </c>
      <c r="D294" s="12">
        <v>57</v>
      </c>
      <c r="E294" s="13">
        <v>1.2547291706409536</v>
      </c>
    </row>
    <row r="295" spans="1:5">
      <c r="A295" s="3" t="s">
        <v>497</v>
      </c>
      <c r="B295" s="11" t="s">
        <v>192</v>
      </c>
      <c r="C295" s="11" t="s">
        <v>101</v>
      </c>
      <c r="D295" s="12">
        <v>58</v>
      </c>
      <c r="E295" s="13">
        <v>1.2600115706489776</v>
      </c>
    </row>
    <row r="296" spans="1:5">
      <c r="A296" s="3" t="s">
        <v>498</v>
      </c>
      <c r="B296" s="11" t="s">
        <v>192</v>
      </c>
      <c r="C296" s="11" t="s">
        <v>101</v>
      </c>
      <c r="D296" s="12">
        <v>59</v>
      </c>
      <c r="E296" s="13">
        <v>1.2652051866094043</v>
      </c>
    </row>
    <row r="297" spans="1:5">
      <c r="A297" s="3" t="s">
        <v>499</v>
      </c>
      <c r="B297" s="11" t="s">
        <v>192</v>
      </c>
      <c r="C297" s="11" t="s">
        <v>101</v>
      </c>
      <c r="D297" s="12">
        <v>60</v>
      </c>
      <c r="E297" s="13">
        <v>1.270312953735959</v>
      </c>
    </row>
    <row r="298" spans="1:5">
      <c r="A298" s="3" t="s">
        <v>500</v>
      </c>
      <c r="B298" s="11" t="s">
        <v>192</v>
      </c>
      <c r="C298" s="11" t="s">
        <v>101</v>
      </c>
      <c r="D298" s="12">
        <v>61</v>
      </c>
      <c r="E298" s="13">
        <v>1.2753376640482688</v>
      </c>
    </row>
    <row r="299" spans="1:5">
      <c r="A299" s="3" t="s">
        <v>501</v>
      </c>
      <c r="B299" s="11" t="s">
        <v>192</v>
      </c>
      <c r="C299" s="11" t="s">
        <v>101</v>
      </c>
      <c r="D299" s="12">
        <v>62</v>
      </c>
      <c r="E299" s="13">
        <v>1.2802819755372974</v>
      </c>
    </row>
    <row r="300" spans="1:5">
      <c r="A300" s="3" t="s">
        <v>502</v>
      </c>
      <c r="B300" s="11" t="s">
        <v>192</v>
      </c>
      <c r="C300" s="11" t="s">
        <v>101</v>
      </c>
      <c r="D300" s="12">
        <v>63</v>
      </c>
      <c r="E300" s="13">
        <v>1.2851484206089971</v>
      </c>
    </row>
    <row r="301" spans="1:5">
      <c r="A301" s="3" t="s">
        <v>503</v>
      </c>
      <c r="B301" s="11" t="s">
        <v>192</v>
      </c>
      <c r="C301" s="11" t="s">
        <v>101</v>
      </c>
      <c r="D301" s="12">
        <v>64</v>
      </c>
      <c r="E301" s="13">
        <v>1.2899394138733298</v>
      </c>
    </row>
    <row r="302" spans="1:5">
      <c r="A302" s="3" t="s">
        <v>504</v>
      </c>
      <c r="B302" s="11" t="s">
        <v>192</v>
      </c>
      <c r="C302" s="11" t="s">
        <v>101</v>
      </c>
      <c r="D302" s="12">
        <v>65</v>
      </c>
      <c r="E302" s="13">
        <v>1.2946572593386378</v>
      </c>
    </row>
    <row r="303" spans="1:5">
      <c r="A303" s="3" t="s">
        <v>505</v>
      </c>
      <c r="B303" s="11" t="s">
        <v>192</v>
      </c>
      <c r="C303" s="11" t="s">
        <v>101</v>
      </c>
      <c r="D303" s="12">
        <v>66</v>
      </c>
      <c r="E303" s="13">
        <v>1.2993041570650194</v>
      </c>
    </row>
    <row r="304" spans="1:5">
      <c r="A304" s="3" t="s">
        <v>506</v>
      </c>
      <c r="B304" s="11" t="s">
        <v>192</v>
      </c>
      <c r="C304" s="11" t="s">
        <v>101</v>
      </c>
      <c r="D304" s="12">
        <v>67</v>
      </c>
      <c r="E304" s="13">
        <v>1.3038822093248055</v>
      </c>
    </row>
    <row r="305" spans="1:5">
      <c r="A305" s="3" t="s">
        <v>507</v>
      </c>
      <c r="B305" s="11" t="s">
        <v>192</v>
      </c>
      <c r="C305" s="11" t="s">
        <v>101</v>
      </c>
      <c r="D305" s="12">
        <v>68</v>
      </c>
      <c r="E305" s="13">
        <v>1.3083934263133161</v>
      </c>
    </row>
    <row r="306" spans="1:5">
      <c r="A306" s="3" t="s">
        <v>508</v>
      </c>
      <c r="B306" s="11" t="s">
        <v>192</v>
      </c>
      <c r="C306" s="11" t="s">
        <v>101</v>
      </c>
      <c r="D306" s="12">
        <v>69</v>
      </c>
      <c r="E306" s="13">
        <v>1.3128397314487292</v>
      </c>
    </row>
    <row r="307" spans="1:5">
      <c r="A307" s="3" t="s">
        <v>509</v>
      </c>
      <c r="B307" s="11" t="s">
        <v>192</v>
      </c>
      <c r="C307" s="11" t="s">
        <v>101</v>
      </c>
      <c r="D307" s="12">
        <v>70</v>
      </c>
      <c r="E307" s="13">
        <v>1.3172229662960289</v>
      </c>
    </row>
    <row r="308" spans="1:5">
      <c r="A308" s="3" t="s">
        <v>510</v>
      </c>
      <c r="B308" s="11" t="s">
        <v>192</v>
      </c>
      <c r="C308" s="11" t="s">
        <v>101</v>
      </c>
      <c r="D308" s="12">
        <v>71</v>
      </c>
      <c r="E308" s="13">
        <v>1.321544895146592</v>
      </c>
    </row>
    <row r="309" spans="1:5">
      <c r="A309" s="3" t="s">
        <v>511</v>
      </c>
      <c r="B309" s="11" t="s">
        <v>192</v>
      </c>
      <c r="C309" s="11" t="s">
        <v>101</v>
      </c>
      <c r="D309" s="12">
        <v>72</v>
      </c>
      <c r="E309" s="13">
        <v>1.3258072092819062</v>
      </c>
    </row>
    <row r="310" spans="1:5">
      <c r="A310" s="3" t="s">
        <v>512</v>
      </c>
      <c r="B310" s="11" t="s">
        <v>192</v>
      </c>
      <c r="C310" s="11" t="s">
        <v>101</v>
      </c>
      <c r="D310" s="12">
        <v>73</v>
      </c>
      <c r="E310" s="13">
        <v>1.3300115309472114</v>
      </c>
    </row>
    <row r="311" spans="1:5">
      <c r="A311" s="3" t="s">
        <v>513</v>
      </c>
      <c r="B311" s="11" t="s">
        <v>192</v>
      </c>
      <c r="C311" s="11" t="s">
        <v>101</v>
      </c>
      <c r="D311" s="12">
        <v>74</v>
      </c>
      <c r="E311" s="13">
        <v>1.3341594170584306</v>
      </c>
    </row>
    <row r="312" spans="1:5">
      <c r="A312" s="3" t="s">
        <v>514</v>
      </c>
      <c r="B312" s="11" t="s">
        <v>192</v>
      </c>
      <c r="C312" s="11" t="s">
        <v>101</v>
      </c>
      <c r="D312" s="12">
        <v>75</v>
      </c>
      <c r="E312" s="13">
        <v>1.3382523626635874</v>
      </c>
    </row>
    <row r="313" spans="1:5">
      <c r="A313" s="3" t="s">
        <v>515</v>
      </c>
      <c r="B313" s="11" t="s">
        <v>192</v>
      </c>
      <c r="C313" s="11" t="s">
        <v>101</v>
      </c>
      <c r="D313" s="12">
        <v>76</v>
      </c>
      <c r="E313" s="13">
        <v>1.3422918041779623</v>
      </c>
    </row>
    <row r="314" spans="1:5">
      <c r="A314" s="3" t="s">
        <v>516</v>
      </c>
      <c r="B314" s="11" t="s">
        <v>192</v>
      </c>
      <c r="C314" s="11" t="s">
        <v>101</v>
      </c>
      <c r="D314" s="12">
        <v>77</v>
      </c>
      <c r="E314" s="13">
        <v>1.3462791224105175</v>
      </c>
    </row>
    <row r="315" spans="1:5">
      <c r="A315" s="3" t="s">
        <v>517</v>
      </c>
      <c r="B315" s="11" t="s">
        <v>192</v>
      </c>
      <c r="C315" s="11" t="s">
        <v>101</v>
      </c>
      <c r="D315" s="12">
        <v>78</v>
      </c>
      <c r="E315" s="13">
        <v>1.3502156453975345</v>
      </c>
    </row>
    <row r="316" spans="1:5">
      <c r="A316" s="3" t="s">
        <v>518</v>
      </c>
      <c r="B316" s="11" t="s">
        <v>192</v>
      </c>
      <c r="C316" s="11" t="s">
        <v>101</v>
      </c>
      <c r="D316" s="12">
        <v>79</v>
      </c>
      <c r="E316" s="13">
        <v>1.3541026510580234</v>
      </c>
    </row>
    <row r="317" spans="1:5">
      <c r="A317" s="3" t="s">
        <v>519</v>
      </c>
      <c r="B317" s="11" t="s">
        <v>192</v>
      </c>
      <c r="C317" s="11" t="s">
        <v>101</v>
      </c>
      <c r="D317" s="12">
        <v>80</v>
      </c>
      <c r="E317" s="13">
        <v>1.3579413696841871</v>
      </c>
    </row>
    <row r="318" spans="1:5">
      <c r="A318" s="3" t="s">
        <v>520</v>
      </c>
      <c r="B318" s="11" t="s">
        <v>192</v>
      </c>
      <c r="C318" s="11" t="s">
        <v>101</v>
      </c>
      <c r="D318" s="12">
        <v>81</v>
      </c>
      <c r="E318" s="13">
        <v>1.3617329862790826</v>
      </c>
    </row>
    <row r="319" spans="1:5">
      <c r="A319" s="3" t="s">
        <v>521</v>
      </c>
      <c r="B319" s="11" t="s">
        <v>192</v>
      </c>
      <c r="C319" s="11" t="s">
        <v>101</v>
      </c>
      <c r="D319" s="12">
        <v>82</v>
      </c>
      <c r="E319" s="13">
        <v>1.3654786427525967</v>
      </c>
    </row>
    <row r="320" spans="1:5">
      <c r="A320" s="3" t="s">
        <v>522</v>
      </c>
      <c r="B320" s="11" t="s">
        <v>192</v>
      </c>
      <c r="C320" s="11" t="s">
        <v>101</v>
      </c>
      <c r="D320" s="12">
        <v>83</v>
      </c>
      <c r="E320" s="13">
        <v>1.3691794399859167</v>
      </c>
    </row>
    <row r="321" spans="1:5">
      <c r="A321" s="3" t="s">
        <v>523</v>
      </c>
      <c r="B321" s="11" t="s">
        <v>192</v>
      </c>
      <c r="C321" s="11" t="s">
        <v>101</v>
      </c>
      <c r="D321" s="12">
        <v>84</v>
      </c>
      <c r="E321" s="13">
        <v>1.3728364397738317</v>
      </c>
    </row>
    <row r="322" spans="1:5">
      <c r="A322" s="3" t="s">
        <v>524</v>
      </c>
      <c r="B322" s="11" t="s">
        <v>192</v>
      </c>
      <c r="C322" s="11" t="s">
        <v>101</v>
      </c>
      <c r="D322" s="12">
        <v>85</v>
      </c>
      <c r="E322" s="13">
        <v>1.3764506666534442</v>
      </c>
    </row>
    <row r="323" spans="1:5">
      <c r="A323" s="3" t="s">
        <v>525</v>
      </c>
      <c r="B323" s="11" t="s">
        <v>192</v>
      </c>
      <c r="C323" s="11" t="s">
        <v>101</v>
      </c>
      <c r="D323" s="12">
        <v>86</v>
      </c>
      <c r="E323" s="13">
        <v>1.3800231096271676</v>
      </c>
    </row>
    <row r="324" spans="1:5">
      <c r="A324" s="3" t="s">
        <v>526</v>
      </c>
      <c r="B324" s="11" t="s">
        <v>192</v>
      </c>
      <c r="C324" s="11" t="s">
        <v>101</v>
      </c>
      <c r="D324" s="12">
        <v>87</v>
      </c>
      <c r="E324" s="13">
        <v>1.383554723787257</v>
      </c>
    </row>
    <row r="325" spans="1:5">
      <c r="A325" s="3" t="s">
        <v>527</v>
      </c>
      <c r="B325" s="11" t="s">
        <v>192</v>
      </c>
      <c r="C325" s="11" t="s">
        <v>101</v>
      </c>
      <c r="D325" s="12">
        <v>88</v>
      </c>
      <c r="E325" s="13">
        <v>1.387046431848558</v>
      </c>
    </row>
    <row r="326" spans="1:5">
      <c r="A326" s="3" t="s">
        <v>528</v>
      </c>
      <c r="B326" s="11" t="s">
        <v>192</v>
      </c>
      <c r="C326" s="11" t="s">
        <v>101</v>
      </c>
      <c r="D326" s="12">
        <v>89</v>
      </c>
      <c r="E326" s="13">
        <v>1.3904991255956183</v>
      </c>
    </row>
    <row r="327" spans="1:5">
      <c r="A327" s="3" t="s">
        <v>529</v>
      </c>
      <c r="B327" s="11" t="s">
        <v>192</v>
      </c>
      <c r="C327" s="11" t="s">
        <v>101</v>
      </c>
      <c r="D327" s="12">
        <v>90</v>
      </c>
      <c r="E327" s="13">
        <v>1.3939136672498418</v>
      </c>
    </row>
    <row r="328" spans="1:5">
      <c r="A328" s="3" t="s">
        <v>530</v>
      </c>
      <c r="B328" s="11" t="s">
        <v>192</v>
      </c>
      <c r="C328" s="11" t="s">
        <v>101</v>
      </c>
      <c r="D328" s="12">
        <v>91</v>
      </c>
      <c r="E328" s="13">
        <v>1.397290890761935</v>
      </c>
    </row>
    <row r="329" spans="1:5">
      <c r="A329" s="3" t="s">
        <v>531</v>
      </c>
      <c r="B329" s="11" t="s">
        <v>192</v>
      </c>
      <c r="C329" s="11" t="s">
        <v>101</v>
      </c>
      <c r="D329" s="12">
        <v>92</v>
      </c>
      <c r="E329" s="13">
        <v>1.4006316030344828</v>
      </c>
    </row>
    <row r="330" spans="1:5">
      <c r="A330" s="3" t="s">
        <v>532</v>
      </c>
      <c r="B330" s="11" t="s">
        <v>192</v>
      </c>
      <c r="C330" s="11" t="s">
        <v>101</v>
      </c>
      <c r="D330" s="12">
        <v>93</v>
      </c>
      <c r="E330" s="13">
        <v>1.4039365850791428</v>
      </c>
    </row>
    <row r="331" spans="1:5">
      <c r="A331" s="3" t="s">
        <v>533</v>
      </c>
      <c r="B331" s="11" t="s">
        <v>192</v>
      </c>
      <c r="C331" s="11" t="s">
        <v>101</v>
      </c>
      <c r="D331" s="12">
        <v>94</v>
      </c>
      <c r="E331" s="13">
        <v>1.4072065931126132</v>
      </c>
    </row>
    <row r="332" spans="1:5">
      <c r="A332" s="3" t="s">
        <v>534</v>
      </c>
      <c r="B332" s="11" t="s">
        <v>192</v>
      </c>
      <c r="C332" s="11" t="s">
        <v>101</v>
      </c>
      <c r="D332" s="12">
        <v>95</v>
      </c>
      <c r="E332" s="13">
        <v>1.4104423595952111</v>
      </c>
    </row>
    <row r="333" spans="1:5">
      <c r="A333" s="3" t="s">
        <v>535</v>
      </c>
      <c r="B333" s="11" t="s">
        <v>192</v>
      </c>
      <c r="C333" s="11" t="s">
        <v>101</v>
      </c>
      <c r="D333" s="12">
        <v>96</v>
      </c>
      <c r="E333" s="13">
        <v>1.4136445942156375</v>
      </c>
    </row>
    <row r="334" spans="1:5">
      <c r="A334" s="3" t="s">
        <v>536</v>
      </c>
      <c r="B334" s="11" t="s">
        <v>192</v>
      </c>
      <c r="C334" s="11" t="s">
        <v>101</v>
      </c>
      <c r="D334" s="12">
        <v>97</v>
      </c>
      <c r="E334" s="13">
        <v>1.416813984825241</v>
      </c>
    </row>
    <row r="335" spans="1:5">
      <c r="A335" s="3" t="s">
        <v>537</v>
      </c>
      <c r="B335" s="11" t="s">
        <v>192</v>
      </c>
      <c r="C335" s="11" t="s">
        <v>101</v>
      </c>
      <c r="D335" s="12">
        <v>98</v>
      </c>
      <c r="E335" s="13">
        <v>1.4199511983248518</v>
      </c>
    </row>
    <row r="336" spans="1:5">
      <c r="A336" s="3" t="s">
        <v>538</v>
      </c>
      <c r="B336" s="11" t="s">
        <v>192</v>
      </c>
      <c r="C336" s="11" t="s">
        <v>101</v>
      </c>
      <c r="D336" s="12">
        <v>99</v>
      </c>
      <c r="E336" s="13">
        <v>1.4230568815070499</v>
      </c>
    </row>
    <row r="337" spans="1:5">
      <c r="A337" s="3" t="s">
        <v>539</v>
      </c>
      <c r="B337" s="11" t="s">
        <v>4</v>
      </c>
      <c r="C337" s="11" t="s">
        <v>4</v>
      </c>
      <c r="D337" s="3" t="s">
        <v>13</v>
      </c>
      <c r="E337" s="13">
        <v>9.2703862660944214</v>
      </c>
    </row>
    <row r="338" spans="1:5">
      <c r="A338" s="3" t="s">
        <v>540</v>
      </c>
      <c r="B338" s="11" t="s">
        <v>4</v>
      </c>
      <c r="C338" s="11" t="s">
        <v>4</v>
      </c>
      <c r="D338" s="3" t="s">
        <v>21</v>
      </c>
      <c r="E338" s="13">
        <v>14.420600858369097</v>
      </c>
    </row>
    <row r="339" spans="1:5">
      <c r="A339" s="3" t="s">
        <v>541</v>
      </c>
      <c r="B339" s="11" t="s">
        <v>4</v>
      </c>
      <c r="C339" s="11" t="s">
        <v>4</v>
      </c>
      <c r="D339" s="3" t="s">
        <v>29</v>
      </c>
      <c r="E339" s="13">
        <v>11.072961373390559</v>
      </c>
    </row>
    <row r="340" spans="1:5">
      <c r="A340" s="3" t="s">
        <v>542</v>
      </c>
      <c r="B340" s="11" t="s">
        <v>4</v>
      </c>
      <c r="C340" s="11" t="s">
        <v>4</v>
      </c>
      <c r="D340" s="3" t="s">
        <v>36</v>
      </c>
      <c r="E340" s="13">
        <v>16.738197424892704</v>
      </c>
    </row>
    <row r="341" spans="1:5">
      <c r="A341" s="3" t="s">
        <v>543</v>
      </c>
      <c r="B341" s="11" t="s">
        <v>4</v>
      </c>
      <c r="C341" s="11" t="s">
        <v>4</v>
      </c>
      <c r="D341" s="3" t="s">
        <v>40</v>
      </c>
      <c r="E341" s="13">
        <v>14.163090128755364</v>
      </c>
    </row>
    <row r="342" spans="1:5">
      <c r="A342" s="3" t="s">
        <v>544</v>
      </c>
      <c r="B342" s="11" t="s">
        <v>4</v>
      </c>
      <c r="C342" s="11" t="s">
        <v>4</v>
      </c>
      <c r="D342" s="3" t="s">
        <v>42</v>
      </c>
      <c r="E342" s="13">
        <v>9.5278969957081543</v>
      </c>
    </row>
    <row r="343" spans="1:5">
      <c r="A343" s="3" t="s">
        <v>545</v>
      </c>
      <c r="B343" s="11" t="s">
        <v>4</v>
      </c>
      <c r="C343" s="11" t="s">
        <v>4</v>
      </c>
      <c r="D343" s="3" t="s">
        <v>43</v>
      </c>
      <c r="E343" s="13">
        <v>9.0128755364806867</v>
      </c>
    </row>
    <row r="344" spans="1:5">
      <c r="A344" s="11" t="s">
        <v>1489</v>
      </c>
      <c r="B344" s="11" t="s">
        <v>4</v>
      </c>
      <c r="C344" s="11" t="s">
        <v>4</v>
      </c>
      <c r="D344" s="3" t="s">
        <v>44</v>
      </c>
      <c r="E344" s="13">
        <v>11.330472103004292</v>
      </c>
    </row>
    <row r="345" spans="1:5">
      <c r="A345" s="3" t="s">
        <v>546</v>
      </c>
      <c r="B345" s="11" t="s">
        <v>4</v>
      </c>
      <c r="C345" s="11" t="s">
        <v>4</v>
      </c>
      <c r="D345" s="3" t="s">
        <v>45</v>
      </c>
      <c r="E345" s="13">
        <v>11.845493562231759</v>
      </c>
    </row>
    <row r="346" spans="1:5">
      <c r="A346" s="3" t="s">
        <v>547</v>
      </c>
      <c r="B346" s="11" t="s">
        <v>4</v>
      </c>
      <c r="C346" s="11" t="s">
        <v>4</v>
      </c>
      <c r="D346" s="3" t="s">
        <v>46</v>
      </c>
      <c r="E346" s="13">
        <v>10.557939914163089</v>
      </c>
    </row>
    <row r="347" spans="1:5">
      <c r="A347" s="3" t="s">
        <v>548</v>
      </c>
      <c r="B347" s="11" t="s">
        <v>4</v>
      </c>
      <c r="C347" s="11" t="s">
        <v>4</v>
      </c>
      <c r="D347" s="3" t="s">
        <v>47</v>
      </c>
      <c r="E347" s="13">
        <v>9.7854077253218872</v>
      </c>
    </row>
    <row r="348" spans="1:5">
      <c r="A348" s="3" t="s">
        <v>549</v>
      </c>
      <c r="B348" s="11" t="s">
        <v>4</v>
      </c>
      <c r="C348" s="11" t="s">
        <v>4</v>
      </c>
      <c r="D348" s="3" t="s">
        <v>48</v>
      </c>
      <c r="E348" s="13">
        <v>9.5278969957081543</v>
      </c>
    </row>
    <row r="349" spans="1:5">
      <c r="A349" s="3" t="s">
        <v>550</v>
      </c>
      <c r="B349" s="11" t="s">
        <v>4</v>
      </c>
      <c r="C349" s="11" t="s">
        <v>4</v>
      </c>
      <c r="D349" s="3" t="s">
        <v>49</v>
      </c>
      <c r="E349" s="13">
        <v>14.163090128755364</v>
      </c>
    </row>
    <row r="350" spans="1:5">
      <c r="A350" s="3" t="s">
        <v>551</v>
      </c>
      <c r="B350" s="11" t="s">
        <v>4</v>
      </c>
      <c r="C350" s="11" t="s">
        <v>4</v>
      </c>
      <c r="D350" s="3" t="s">
        <v>50</v>
      </c>
      <c r="E350" s="13">
        <v>16.738197424892704</v>
      </c>
    </row>
    <row r="351" spans="1:5">
      <c r="A351" s="3" t="s">
        <v>552</v>
      </c>
      <c r="B351" s="11" t="s">
        <v>4</v>
      </c>
      <c r="C351" s="11" t="s">
        <v>4</v>
      </c>
      <c r="D351" s="3" t="s">
        <v>51</v>
      </c>
      <c r="E351" s="13">
        <v>19.313304721030043</v>
      </c>
    </row>
    <row r="352" spans="1:5">
      <c r="A352" s="3" t="s">
        <v>553</v>
      </c>
      <c r="B352" s="11" t="s">
        <v>4</v>
      </c>
      <c r="C352" s="11" t="s">
        <v>4</v>
      </c>
      <c r="D352" s="3" t="s">
        <v>52</v>
      </c>
      <c r="E352" s="13">
        <v>5.9227467811158796</v>
      </c>
    </row>
    <row r="353" spans="1:5">
      <c r="A353" s="3" t="s">
        <v>554</v>
      </c>
      <c r="B353" s="11" t="s">
        <v>555</v>
      </c>
      <c r="C353" s="11" t="s">
        <v>68</v>
      </c>
      <c r="D353" s="12">
        <v>0</v>
      </c>
      <c r="E353" s="13">
        <v>0</v>
      </c>
    </row>
    <row r="354" spans="1:5">
      <c r="A354" s="3" t="s">
        <v>556</v>
      </c>
      <c r="B354" s="11" t="s">
        <v>555</v>
      </c>
      <c r="C354" s="11" t="s">
        <v>68</v>
      </c>
      <c r="D354" s="12">
        <v>1</v>
      </c>
      <c r="E354" s="13">
        <v>0.3502145922746781</v>
      </c>
    </row>
    <row r="355" spans="1:5">
      <c r="A355" s="3" t="s">
        <v>557</v>
      </c>
      <c r="B355" s="11" t="s">
        <v>555</v>
      </c>
      <c r="C355" s="11" t="s">
        <v>68</v>
      </c>
      <c r="D355" s="12">
        <v>2</v>
      </c>
      <c r="E355" s="13">
        <v>0.70042918454935621</v>
      </c>
    </row>
    <row r="356" spans="1:5">
      <c r="A356" s="3" t="s">
        <v>558</v>
      </c>
      <c r="B356" s="11" t="s">
        <v>555</v>
      </c>
      <c r="C356" s="11" t="s">
        <v>68</v>
      </c>
      <c r="D356" s="12">
        <v>3</v>
      </c>
      <c r="E356" s="13">
        <v>1.0506437768240344</v>
      </c>
    </row>
    <row r="357" spans="1:5">
      <c r="A357" s="3" t="s">
        <v>559</v>
      </c>
      <c r="B357" s="11" t="s">
        <v>555</v>
      </c>
      <c r="C357" s="11" t="s">
        <v>68</v>
      </c>
      <c r="D357" s="12">
        <v>4</v>
      </c>
      <c r="E357" s="13">
        <v>1.4008583690987124</v>
      </c>
    </row>
    <row r="358" spans="1:5">
      <c r="A358" s="3" t="s">
        <v>560</v>
      </c>
      <c r="B358" s="11" t="s">
        <v>555</v>
      </c>
      <c r="C358" s="11" t="s">
        <v>68</v>
      </c>
      <c r="D358" s="12">
        <v>5</v>
      </c>
      <c r="E358" s="13">
        <v>1.7510729613733909</v>
      </c>
    </row>
    <row r="359" spans="1:5">
      <c r="A359" s="3" t="s">
        <v>561</v>
      </c>
      <c r="B359" s="11" t="s">
        <v>555</v>
      </c>
      <c r="C359" s="11" t="s">
        <v>68</v>
      </c>
      <c r="D359" s="12">
        <v>6</v>
      </c>
      <c r="E359" s="13">
        <v>2.1012875536480689</v>
      </c>
    </row>
    <row r="360" spans="1:5">
      <c r="A360" s="3" t="s">
        <v>562</v>
      </c>
      <c r="B360" s="11" t="s">
        <v>555</v>
      </c>
      <c r="C360" s="11" t="s">
        <v>68</v>
      </c>
      <c r="D360" s="12">
        <v>7</v>
      </c>
      <c r="E360" s="13">
        <v>2.4515021459227464</v>
      </c>
    </row>
    <row r="361" spans="1:5">
      <c r="A361" s="3" t="s">
        <v>563</v>
      </c>
      <c r="B361" s="11" t="s">
        <v>555</v>
      </c>
      <c r="C361" s="11" t="s">
        <v>68</v>
      </c>
      <c r="D361" s="12">
        <v>8</v>
      </c>
      <c r="E361" s="13">
        <v>2.8017167381974244</v>
      </c>
    </row>
    <row r="362" spans="1:5">
      <c r="A362" s="3" t="s">
        <v>564</v>
      </c>
      <c r="B362" s="11" t="s">
        <v>555</v>
      </c>
      <c r="C362" s="11" t="s">
        <v>68</v>
      </c>
      <c r="D362" s="12">
        <v>9</v>
      </c>
      <c r="E362" s="13">
        <v>3.1519313304721028</v>
      </c>
    </row>
    <row r="363" spans="1:5">
      <c r="A363" s="3" t="s">
        <v>565</v>
      </c>
      <c r="B363" s="11" t="s">
        <v>555</v>
      </c>
      <c r="C363" s="11" t="s">
        <v>68</v>
      </c>
      <c r="D363" s="12">
        <v>10</v>
      </c>
      <c r="E363" s="13">
        <v>3.5021459227467808</v>
      </c>
    </row>
    <row r="364" spans="1:5">
      <c r="A364" s="3" t="s">
        <v>566</v>
      </c>
      <c r="B364" s="11" t="s">
        <v>555</v>
      </c>
      <c r="C364" s="11" t="s">
        <v>68</v>
      </c>
      <c r="D364" s="12">
        <v>11</v>
      </c>
      <c r="E364" s="13">
        <v>3.8523605150214584</v>
      </c>
    </row>
    <row r="365" spans="1:5">
      <c r="A365" s="3" t="s">
        <v>567</v>
      </c>
      <c r="B365" s="11" t="s">
        <v>555</v>
      </c>
      <c r="C365" s="11" t="s">
        <v>68</v>
      </c>
      <c r="D365" s="12">
        <v>12</v>
      </c>
      <c r="E365" s="13">
        <v>4.2025751072961359</v>
      </c>
    </row>
    <row r="366" spans="1:5">
      <c r="A366" s="3" t="s">
        <v>568</v>
      </c>
      <c r="B366" s="11" t="s">
        <v>555</v>
      </c>
      <c r="C366" s="11" t="s">
        <v>68</v>
      </c>
      <c r="D366" s="12">
        <v>13</v>
      </c>
      <c r="E366" s="13">
        <v>4.5527896995708144</v>
      </c>
    </row>
    <row r="367" spans="1:5">
      <c r="A367" s="3" t="s">
        <v>569</v>
      </c>
      <c r="B367" s="11" t="s">
        <v>555</v>
      </c>
      <c r="C367" s="11" t="s">
        <v>68</v>
      </c>
      <c r="D367" s="12">
        <v>14</v>
      </c>
      <c r="E367" s="13">
        <v>4.9030042918454919</v>
      </c>
    </row>
    <row r="368" spans="1:5">
      <c r="A368" s="3" t="s">
        <v>570</v>
      </c>
      <c r="B368" s="11" t="s">
        <v>555</v>
      </c>
      <c r="C368" s="11" t="s">
        <v>68</v>
      </c>
      <c r="D368" s="12">
        <v>15</v>
      </c>
      <c r="E368" s="13">
        <v>5.2532188841201704</v>
      </c>
    </row>
    <row r="369" spans="1:5">
      <c r="A369" s="3" t="s">
        <v>571</v>
      </c>
      <c r="B369" s="11" t="s">
        <v>555</v>
      </c>
      <c r="C369" s="11" t="s">
        <v>68</v>
      </c>
      <c r="D369" s="12">
        <v>16</v>
      </c>
      <c r="E369" s="13">
        <v>5.6034334763948479</v>
      </c>
    </row>
    <row r="370" spans="1:5">
      <c r="A370" s="3" t="s">
        <v>572</v>
      </c>
      <c r="B370" s="11" t="s">
        <v>555</v>
      </c>
      <c r="C370" s="11" t="s">
        <v>68</v>
      </c>
      <c r="D370" s="12">
        <v>17</v>
      </c>
      <c r="E370" s="13">
        <v>5.9536480686695263</v>
      </c>
    </row>
    <row r="371" spans="1:5">
      <c r="A371" s="3" t="s">
        <v>573</v>
      </c>
      <c r="B371" s="11" t="s">
        <v>555</v>
      </c>
      <c r="C371" s="11" t="s">
        <v>68</v>
      </c>
      <c r="D371" s="12">
        <v>18</v>
      </c>
      <c r="E371" s="13">
        <v>6.3038626609442048</v>
      </c>
    </row>
    <row r="372" spans="1:5">
      <c r="A372" s="3" t="s">
        <v>574</v>
      </c>
      <c r="B372" s="11" t="s">
        <v>555</v>
      </c>
      <c r="C372" s="11" t="s">
        <v>68</v>
      </c>
      <c r="D372" s="12">
        <v>19</v>
      </c>
      <c r="E372" s="13">
        <v>6.6540772532188823</v>
      </c>
    </row>
    <row r="373" spans="1:5">
      <c r="A373" s="3" t="s">
        <v>575</v>
      </c>
      <c r="B373" s="11" t="s">
        <v>555</v>
      </c>
      <c r="C373" s="11" t="s">
        <v>68</v>
      </c>
      <c r="D373" s="12">
        <v>20</v>
      </c>
      <c r="E373" s="13">
        <v>7.0042918454935617</v>
      </c>
    </row>
    <row r="374" spans="1:5">
      <c r="A374" s="3" t="s">
        <v>576</v>
      </c>
      <c r="B374" s="11" t="s">
        <v>555</v>
      </c>
      <c r="C374" s="11" t="s">
        <v>68</v>
      </c>
      <c r="D374" s="12">
        <v>21</v>
      </c>
      <c r="E374" s="13">
        <v>7.354506437768241</v>
      </c>
    </row>
    <row r="375" spans="1:5">
      <c r="A375" s="3" t="s">
        <v>577</v>
      </c>
      <c r="B375" s="11" t="s">
        <v>555</v>
      </c>
      <c r="C375" s="11" t="s">
        <v>68</v>
      </c>
      <c r="D375" s="12">
        <v>22</v>
      </c>
      <c r="E375" s="13">
        <v>7.7047210300429203</v>
      </c>
    </row>
    <row r="376" spans="1:5">
      <c r="A376" s="3" t="s">
        <v>578</v>
      </c>
      <c r="B376" s="11" t="s">
        <v>555</v>
      </c>
      <c r="C376" s="11" t="s">
        <v>68</v>
      </c>
      <c r="D376" s="12">
        <v>23</v>
      </c>
      <c r="E376" s="13">
        <v>8.054935622317597</v>
      </c>
    </row>
    <row r="377" spans="1:5">
      <c r="A377" s="3" t="s">
        <v>579</v>
      </c>
      <c r="B377" s="11" t="s">
        <v>555</v>
      </c>
      <c r="C377" s="11" t="s">
        <v>68</v>
      </c>
      <c r="D377" s="12">
        <v>24</v>
      </c>
      <c r="E377" s="13">
        <v>8.4051502145922754</v>
      </c>
    </row>
    <row r="378" spans="1:5">
      <c r="A378" s="3" t="s">
        <v>580</v>
      </c>
      <c r="B378" s="11" t="s">
        <v>555</v>
      </c>
      <c r="C378" s="11" t="s">
        <v>68</v>
      </c>
      <c r="D378" s="12">
        <v>25</v>
      </c>
      <c r="E378" s="13">
        <v>8.7553648068669521</v>
      </c>
    </row>
    <row r="379" spans="1:5">
      <c r="A379" s="3" t="s">
        <v>581</v>
      </c>
      <c r="B379" s="11" t="s">
        <v>555</v>
      </c>
      <c r="C379" s="11" t="s">
        <v>68</v>
      </c>
      <c r="D379" s="12">
        <v>26</v>
      </c>
      <c r="E379" s="13">
        <v>9.1055793991416305</v>
      </c>
    </row>
    <row r="380" spans="1:5">
      <c r="A380" s="3" t="s">
        <v>582</v>
      </c>
      <c r="B380" s="11" t="s">
        <v>555</v>
      </c>
      <c r="C380" s="11" t="s">
        <v>68</v>
      </c>
      <c r="D380" s="12">
        <v>27</v>
      </c>
      <c r="E380" s="13">
        <v>9.4557939914163107</v>
      </c>
    </row>
    <row r="381" spans="1:5">
      <c r="A381" s="3" t="s">
        <v>583</v>
      </c>
      <c r="B381" s="11" t="s">
        <v>555</v>
      </c>
      <c r="C381" s="11" t="s">
        <v>68</v>
      </c>
      <c r="D381" s="12">
        <v>28</v>
      </c>
      <c r="E381" s="13">
        <v>9.8060085836909874</v>
      </c>
    </row>
    <row r="382" spans="1:5">
      <c r="A382" s="3" t="s">
        <v>584</v>
      </c>
      <c r="B382" s="11" t="s">
        <v>555</v>
      </c>
      <c r="C382" s="11" t="s">
        <v>68</v>
      </c>
      <c r="D382" s="12">
        <v>29</v>
      </c>
      <c r="E382" s="13">
        <v>10.156223175965668</v>
      </c>
    </row>
    <row r="383" spans="1:5">
      <c r="A383" s="3" t="s">
        <v>585</v>
      </c>
      <c r="B383" s="11" t="s">
        <v>555</v>
      </c>
      <c r="C383" s="11" t="s">
        <v>68</v>
      </c>
      <c r="D383" s="12">
        <v>30</v>
      </c>
      <c r="E383" s="13">
        <v>10.506437768240344</v>
      </c>
    </row>
    <row r="384" spans="1:5">
      <c r="A384" s="3" t="s">
        <v>586</v>
      </c>
      <c r="B384" s="11" t="s">
        <v>555</v>
      </c>
      <c r="C384" s="11" t="s">
        <v>68</v>
      </c>
      <c r="D384" s="12">
        <v>31</v>
      </c>
      <c r="E384" s="13">
        <v>10.856652360515021</v>
      </c>
    </row>
    <row r="385" spans="1:5">
      <c r="A385" s="3" t="s">
        <v>587</v>
      </c>
      <c r="B385" s="11" t="s">
        <v>555</v>
      </c>
      <c r="C385" s="11" t="s">
        <v>68</v>
      </c>
      <c r="D385" s="12">
        <v>32</v>
      </c>
      <c r="E385" s="13">
        <v>11.206866952789701</v>
      </c>
    </row>
    <row r="386" spans="1:5">
      <c r="A386" s="3" t="s">
        <v>588</v>
      </c>
      <c r="B386" s="11" t="s">
        <v>555</v>
      </c>
      <c r="C386" s="11" t="s">
        <v>68</v>
      </c>
      <c r="D386" s="12">
        <v>33</v>
      </c>
      <c r="E386" s="13">
        <v>11.557081545064378</v>
      </c>
    </row>
    <row r="387" spans="1:5">
      <c r="A387" s="3" t="s">
        <v>589</v>
      </c>
      <c r="B387" s="11" t="s">
        <v>555</v>
      </c>
      <c r="C387" s="11" t="s">
        <v>68</v>
      </c>
      <c r="D387" s="12">
        <v>34</v>
      </c>
      <c r="E387" s="13">
        <v>11.907296137339058</v>
      </c>
    </row>
    <row r="388" spans="1:5">
      <c r="A388" s="3" t="s">
        <v>590</v>
      </c>
      <c r="B388" s="11" t="s">
        <v>555</v>
      </c>
      <c r="C388" s="11" t="s">
        <v>68</v>
      </c>
      <c r="D388" s="12">
        <v>35</v>
      </c>
      <c r="E388" s="13">
        <v>12.257510729613733</v>
      </c>
    </row>
    <row r="389" spans="1:5">
      <c r="A389" s="3" t="s">
        <v>591</v>
      </c>
      <c r="B389" s="11" t="s">
        <v>555</v>
      </c>
      <c r="C389" s="11" t="s">
        <v>68</v>
      </c>
      <c r="D389" s="12">
        <v>36</v>
      </c>
      <c r="E389" s="13">
        <v>12.607725321888413</v>
      </c>
    </row>
    <row r="390" spans="1:5">
      <c r="A390" s="3" t="s">
        <v>592</v>
      </c>
      <c r="B390" s="11" t="s">
        <v>555</v>
      </c>
      <c r="C390" s="11" t="s">
        <v>68</v>
      </c>
      <c r="D390" s="12">
        <v>37</v>
      </c>
      <c r="E390" s="13">
        <v>12.957939914163092</v>
      </c>
    </row>
    <row r="391" spans="1:5">
      <c r="A391" s="3" t="s">
        <v>593</v>
      </c>
      <c r="B391" s="11" t="s">
        <v>555</v>
      </c>
      <c r="C391" s="11" t="s">
        <v>68</v>
      </c>
      <c r="D391" s="12">
        <v>38</v>
      </c>
      <c r="E391" s="13">
        <v>13.30815450643777</v>
      </c>
    </row>
    <row r="392" spans="1:5">
      <c r="A392" s="3" t="s">
        <v>594</v>
      </c>
      <c r="B392" s="11" t="s">
        <v>555</v>
      </c>
      <c r="C392" s="11" t="s">
        <v>68</v>
      </c>
      <c r="D392" s="12">
        <v>39</v>
      </c>
      <c r="E392" s="13">
        <v>13.65836909871245</v>
      </c>
    </row>
    <row r="393" spans="1:5">
      <c r="A393" s="3" t="s">
        <v>595</v>
      </c>
      <c r="B393" s="11" t="s">
        <v>555</v>
      </c>
      <c r="C393" s="11" t="s">
        <v>68</v>
      </c>
      <c r="D393" s="12">
        <v>40</v>
      </c>
      <c r="E393" s="13">
        <v>14.008583690987127</v>
      </c>
    </row>
    <row r="394" spans="1:5">
      <c r="A394" s="3" t="s">
        <v>596</v>
      </c>
      <c r="B394" s="11" t="s">
        <v>555</v>
      </c>
      <c r="C394" s="11" t="s">
        <v>68</v>
      </c>
      <c r="D394" s="12">
        <v>41</v>
      </c>
      <c r="E394" s="13">
        <v>14.358798283261802</v>
      </c>
    </row>
    <row r="395" spans="1:5">
      <c r="A395" s="3" t="s">
        <v>597</v>
      </c>
      <c r="B395" s="11" t="s">
        <v>555</v>
      </c>
      <c r="C395" s="11" t="s">
        <v>68</v>
      </c>
      <c r="D395" s="12">
        <v>42</v>
      </c>
      <c r="E395" s="13">
        <v>28.717596566523603</v>
      </c>
    </row>
    <row r="396" spans="1:5">
      <c r="A396" s="3" t="s">
        <v>598</v>
      </c>
      <c r="B396" s="11" t="s">
        <v>555</v>
      </c>
      <c r="C396" s="11" t="s">
        <v>68</v>
      </c>
      <c r="D396" s="12">
        <v>43</v>
      </c>
      <c r="E396" s="13">
        <v>43.076394849785409</v>
      </c>
    </row>
    <row r="397" spans="1:5">
      <c r="A397" s="3" t="s">
        <v>599</v>
      </c>
      <c r="B397" s="11" t="s">
        <v>555</v>
      </c>
      <c r="C397" s="11" t="s">
        <v>68</v>
      </c>
      <c r="D397" s="12">
        <v>44</v>
      </c>
      <c r="E397" s="13">
        <v>57.435193133047207</v>
      </c>
    </row>
    <row r="398" spans="1:5">
      <c r="A398" s="3" t="s">
        <v>600</v>
      </c>
      <c r="B398" s="11" t="s">
        <v>555</v>
      </c>
      <c r="C398" s="11" t="s">
        <v>68</v>
      </c>
      <c r="D398" s="12">
        <v>45</v>
      </c>
      <c r="E398" s="13">
        <v>71.793991416309026</v>
      </c>
    </row>
    <row r="399" spans="1:5">
      <c r="A399" s="3" t="s">
        <v>601</v>
      </c>
      <c r="B399" s="11" t="s">
        <v>555</v>
      </c>
      <c r="C399" s="11" t="s">
        <v>68</v>
      </c>
      <c r="D399" s="12">
        <v>46</v>
      </c>
      <c r="E399" s="13">
        <v>86.152789699570818</v>
      </c>
    </row>
    <row r="400" spans="1:5">
      <c r="A400" s="3" t="s">
        <v>602</v>
      </c>
      <c r="B400" s="11" t="s">
        <v>555</v>
      </c>
      <c r="C400" s="11" t="s">
        <v>68</v>
      </c>
      <c r="D400" s="12">
        <v>47</v>
      </c>
      <c r="E400" s="13">
        <v>100.51158798283261</v>
      </c>
    </row>
    <row r="401" spans="1:5">
      <c r="A401" s="3" t="s">
        <v>603</v>
      </c>
      <c r="B401" s="11" t="s">
        <v>555</v>
      </c>
      <c r="C401" s="11" t="s">
        <v>68</v>
      </c>
      <c r="D401" s="12">
        <v>48</v>
      </c>
      <c r="E401" s="13">
        <v>114.8703862660944</v>
      </c>
    </row>
    <row r="402" spans="1:5" ht="12" customHeight="1">
      <c r="A402" s="3" t="s">
        <v>604</v>
      </c>
      <c r="B402" s="11" t="s">
        <v>555</v>
      </c>
      <c r="C402" s="11" t="s">
        <v>68</v>
      </c>
      <c r="D402" s="12">
        <v>49</v>
      </c>
      <c r="E402" s="13">
        <v>129.22918454935621</v>
      </c>
    </row>
    <row r="403" spans="1:5">
      <c r="A403" s="3" t="s">
        <v>605</v>
      </c>
      <c r="B403" s="11" t="s">
        <v>555</v>
      </c>
      <c r="C403" s="11" t="s">
        <v>68</v>
      </c>
      <c r="D403" s="12">
        <v>50</v>
      </c>
      <c r="E403" s="13">
        <v>143.58798283261802</v>
      </c>
    </row>
    <row r="404" spans="1:5">
      <c r="A404" s="3" t="s">
        <v>606</v>
      </c>
      <c r="B404" s="11" t="s">
        <v>555</v>
      </c>
      <c r="C404" s="11" t="s">
        <v>607</v>
      </c>
      <c r="D404" s="12">
        <v>0</v>
      </c>
      <c r="E404" s="13">
        <v>0</v>
      </c>
    </row>
    <row r="405" spans="1:5">
      <c r="A405" s="3" t="s">
        <v>608</v>
      </c>
      <c r="B405" s="11" t="s">
        <v>555</v>
      </c>
      <c r="C405" s="11" t="s">
        <v>607</v>
      </c>
      <c r="D405" s="12">
        <v>1</v>
      </c>
      <c r="E405" s="13">
        <v>8.7553648068669526E-2</v>
      </c>
    </row>
    <row r="406" spans="1:5">
      <c r="A406" s="3" t="s">
        <v>609</v>
      </c>
      <c r="B406" s="11" t="s">
        <v>555</v>
      </c>
      <c r="C406" s="11" t="s">
        <v>607</v>
      </c>
      <c r="D406" s="12">
        <v>2</v>
      </c>
      <c r="E406" s="13">
        <v>0.17510729613733905</v>
      </c>
    </row>
    <row r="407" spans="1:5">
      <c r="A407" s="3" t="s">
        <v>610</v>
      </c>
      <c r="B407" s="11" t="s">
        <v>555</v>
      </c>
      <c r="C407" s="11" t="s">
        <v>607</v>
      </c>
      <c r="D407" s="12">
        <v>3</v>
      </c>
      <c r="E407" s="13">
        <v>0.26266094420600861</v>
      </c>
    </row>
    <row r="408" spans="1:5">
      <c r="A408" s="3" t="s">
        <v>611</v>
      </c>
      <c r="B408" s="11" t="s">
        <v>555</v>
      </c>
      <c r="C408" s="11" t="s">
        <v>607</v>
      </c>
      <c r="D408" s="12">
        <v>4</v>
      </c>
      <c r="E408" s="13">
        <v>0.3502145922746781</v>
      </c>
    </row>
    <row r="409" spans="1:5">
      <c r="A409" s="3" t="s">
        <v>612</v>
      </c>
      <c r="B409" s="11" t="s">
        <v>555</v>
      </c>
      <c r="C409" s="11" t="s">
        <v>607</v>
      </c>
      <c r="D409" s="12">
        <v>5</v>
      </c>
      <c r="E409" s="13">
        <v>0.43776824034334771</v>
      </c>
    </row>
    <row r="410" spans="1:5">
      <c r="A410" s="3" t="s">
        <v>613</v>
      </c>
      <c r="B410" s="11" t="s">
        <v>555</v>
      </c>
      <c r="C410" s="11" t="s">
        <v>607</v>
      </c>
      <c r="D410" s="12">
        <v>6</v>
      </c>
      <c r="E410" s="13">
        <v>0.52532188841201721</v>
      </c>
    </row>
    <row r="411" spans="1:5">
      <c r="A411" s="3" t="s">
        <v>614</v>
      </c>
      <c r="B411" s="11" t="s">
        <v>555</v>
      </c>
      <c r="C411" s="11" t="s">
        <v>607</v>
      </c>
      <c r="D411" s="12">
        <v>7</v>
      </c>
      <c r="E411" s="13">
        <v>0.61287553648068682</v>
      </c>
    </row>
    <row r="412" spans="1:5">
      <c r="A412" s="3" t="s">
        <v>615</v>
      </c>
      <c r="B412" s="11" t="s">
        <v>555</v>
      </c>
      <c r="C412" s="11" t="s">
        <v>607</v>
      </c>
      <c r="D412" s="12">
        <v>8</v>
      </c>
      <c r="E412" s="13">
        <v>0.70042918454935621</v>
      </c>
    </row>
    <row r="413" spans="1:5">
      <c r="A413" s="3" t="s">
        <v>616</v>
      </c>
      <c r="B413" s="11" t="s">
        <v>555</v>
      </c>
      <c r="C413" s="11" t="s">
        <v>607</v>
      </c>
      <c r="D413" s="12">
        <v>9</v>
      </c>
      <c r="E413" s="13">
        <v>0.78798283261802571</v>
      </c>
    </row>
    <row r="414" spans="1:5">
      <c r="A414" s="3" t="s">
        <v>617</v>
      </c>
      <c r="B414" s="11" t="s">
        <v>555</v>
      </c>
      <c r="C414" s="11" t="s">
        <v>607</v>
      </c>
      <c r="D414" s="12">
        <v>10</v>
      </c>
      <c r="E414" s="13">
        <v>0.87553648068669543</v>
      </c>
    </row>
    <row r="415" spans="1:5">
      <c r="A415" s="3" t="s">
        <v>618</v>
      </c>
      <c r="B415" s="11" t="s">
        <v>555</v>
      </c>
      <c r="C415" s="11" t="s">
        <v>607</v>
      </c>
      <c r="D415" s="12">
        <v>11</v>
      </c>
      <c r="E415" s="13">
        <v>0.96309012875536482</v>
      </c>
    </row>
    <row r="416" spans="1:5">
      <c r="A416" s="3" t="s">
        <v>619</v>
      </c>
      <c r="B416" s="11" t="s">
        <v>555</v>
      </c>
      <c r="C416" s="11" t="s">
        <v>607</v>
      </c>
      <c r="D416" s="12">
        <v>12</v>
      </c>
      <c r="E416" s="13">
        <v>1.0506437768240344</v>
      </c>
    </row>
    <row r="417" spans="1:5">
      <c r="A417" s="3" t="s">
        <v>620</v>
      </c>
      <c r="B417" s="11" t="s">
        <v>555</v>
      </c>
      <c r="C417" s="11" t="s">
        <v>607</v>
      </c>
      <c r="D417" s="12">
        <v>13</v>
      </c>
      <c r="E417" s="13">
        <v>1.1381974248927038</v>
      </c>
    </row>
    <row r="418" spans="1:5">
      <c r="A418" s="3" t="s">
        <v>621</v>
      </c>
      <c r="B418" s="11" t="s">
        <v>555</v>
      </c>
      <c r="C418" s="11" t="s">
        <v>607</v>
      </c>
      <c r="D418" s="12">
        <v>14</v>
      </c>
      <c r="E418" s="13">
        <v>1.2257510729613736</v>
      </c>
    </row>
    <row r="419" spans="1:5">
      <c r="A419" s="3" t="s">
        <v>622</v>
      </c>
      <c r="B419" s="11" t="s">
        <v>555</v>
      </c>
      <c r="C419" s="11" t="s">
        <v>607</v>
      </c>
      <c r="D419" s="12">
        <v>15</v>
      </c>
      <c r="E419" s="13">
        <v>1.3133047210300433</v>
      </c>
    </row>
    <row r="420" spans="1:5">
      <c r="A420" s="3" t="s">
        <v>623</v>
      </c>
      <c r="B420" s="11" t="s">
        <v>555</v>
      </c>
      <c r="C420" s="11" t="s">
        <v>607</v>
      </c>
      <c r="D420" s="12">
        <v>16</v>
      </c>
      <c r="E420" s="13">
        <v>1.4008583690987124</v>
      </c>
    </row>
    <row r="421" spans="1:5">
      <c r="A421" s="3" t="s">
        <v>624</v>
      </c>
      <c r="B421" s="11" t="s">
        <v>555</v>
      </c>
      <c r="C421" s="11" t="s">
        <v>607</v>
      </c>
      <c r="D421" s="12">
        <v>17</v>
      </c>
      <c r="E421" s="13">
        <v>1.4884120171673818</v>
      </c>
    </row>
    <row r="422" spans="1:5">
      <c r="A422" s="3" t="s">
        <v>625</v>
      </c>
      <c r="B422" s="11" t="s">
        <v>555</v>
      </c>
      <c r="C422" s="11" t="s">
        <v>607</v>
      </c>
      <c r="D422" s="12">
        <v>18</v>
      </c>
      <c r="E422" s="13">
        <v>1.5759656652360514</v>
      </c>
    </row>
    <row r="423" spans="1:5">
      <c r="A423" s="3" t="s">
        <v>626</v>
      </c>
      <c r="B423" s="11" t="s">
        <v>555</v>
      </c>
      <c r="C423" s="11" t="s">
        <v>607</v>
      </c>
      <c r="D423" s="12">
        <v>19</v>
      </c>
      <c r="E423" s="13">
        <v>1.6635193133047212</v>
      </c>
    </row>
    <row r="424" spans="1:5">
      <c r="A424" s="3" t="s">
        <v>627</v>
      </c>
      <c r="B424" s="11" t="s">
        <v>555</v>
      </c>
      <c r="C424" s="11" t="s">
        <v>607</v>
      </c>
      <c r="D424" s="12">
        <v>20</v>
      </c>
      <c r="E424" s="13">
        <v>1.7510729613733909</v>
      </c>
    </row>
    <row r="425" spans="1:5">
      <c r="A425" s="3" t="s">
        <v>628</v>
      </c>
      <c r="B425" s="11" t="s">
        <v>555</v>
      </c>
      <c r="C425" s="11" t="s">
        <v>607</v>
      </c>
      <c r="D425" s="12">
        <v>21</v>
      </c>
      <c r="E425" s="13">
        <v>1.8386266094420602</v>
      </c>
    </row>
    <row r="426" spans="1:5">
      <c r="A426" s="3" t="s">
        <v>629</v>
      </c>
      <c r="B426" s="11" t="s">
        <v>555</v>
      </c>
      <c r="C426" s="11" t="s">
        <v>607</v>
      </c>
      <c r="D426" s="12">
        <v>22</v>
      </c>
      <c r="E426" s="13">
        <v>1.9261802575107296</v>
      </c>
    </row>
    <row r="427" spans="1:5">
      <c r="A427" s="3" t="s">
        <v>630</v>
      </c>
      <c r="B427" s="11" t="s">
        <v>555</v>
      </c>
      <c r="C427" s="11" t="s">
        <v>607</v>
      </c>
      <c r="D427" s="12">
        <v>23</v>
      </c>
      <c r="E427" s="13">
        <v>2.0137339055793992</v>
      </c>
    </row>
    <row r="428" spans="1:5">
      <c r="A428" s="3" t="s">
        <v>631</v>
      </c>
      <c r="B428" s="11" t="s">
        <v>555</v>
      </c>
      <c r="C428" s="11" t="s">
        <v>607</v>
      </c>
      <c r="D428" s="12">
        <v>24</v>
      </c>
      <c r="E428" s="13">
        <v>2.1012875536480689</v>
      </c>
    </row>
    <row r="429" spans="1:5">
      <c r="A429" s="3" t="s">
        <v>632</v>
      </c>
      <c r="B429" s="11" t="s">
        <v>555</v>
      </c>
      <c r="C429" s="11" t="s">
        <v>607</v>
      </c>
      <c r="D429" s="12">
        <v>25</v>
      </c>
      <c r="E429" s="13">
        <v>2.1888412017167385</v>
      </c>
    </row>
    <row r="430" spans="1:5">
      <c r="A430" s="3" t="s">
        <v>633</v>
      </c>
      <c r="B430" s="11" t="s">
        <v>555</v>
      </c>
      <c r="C430" s="11" t="s">
        <v>607</v>
      </c>
      <c r="D430" s="12">
        <v>26</v>
      </c>
      <c r="E430" s="13">
        <v>2.2763948497854076</v>
      </c>
    </row>
    <row r="431" spans="1:5">
      <c r="A431" s="3" t="s">
        <v>634</v>
      </c>
      <c r="B431" s="11" t="s">
        <v>555</v>
      </c>
      <c r="C431" s="11" t="s">
        <v>607</v>
      </c>
      <c r="D431" s="12">
        <v>27</v>
      </c>
      <c r="E431" s="13">
        <v>2.3639484978540777</v>
      </c>
    </row>
    <row r="432" spans="1:5">
      <c r="A432" s="3" t="s">
        <v>635</v>
      </c>
      <c r="B432" s="11" t="s">
        <v>555</v>
      </c>
      <c r="C432" s="11" t="s">
        <v>607</v>
      </c>
      <c r="D432" s="12">
        <v>28</v>
      </c>
      <c r="E432" s="13">
        <v>2.4515021459227473</v>
      </c>
    </row>
    <row r="433" spans="1:5">
      <c r="A433" s="3" t="s">
        <v>636</v>
      </c>
      <c r="B433" s="11" t="s">
        <v>555</v>
      </c>
      <c r="C433" s="11" t="s">
        <v>607</v>
      </c>
      <c r="D433" s="12">
        <v>29</v>
      </c>
      <c r="E433" s="13">
        <v>2.5390557939914169</v>
      </c>
    </row>
    <row r="434" spans="1:5">
      <c r="A434" s="3" t="s">
        <v>637</v>
      </c>
      <c r="B434" s="11" t="s">
        <v>555</v>
      </c>
      <c r="C434" s="11" t="s">
        <v>607</v>
      </c>
      <c r="D434" s="12">
        <v>30</v>
      </c>
      <c r="E434" s="13">
        <v>2.6266094420600865</v>
      </c>
    </row>
    <row r="435" spans="1:5">
      <c r="A435" s="3" t="s">
        <v>638</v>
      </c>
      <c r="B435" s="11" t="s">
        <v>555</v>
      </c>
      <c r="C435" s="11" t="s">
        <v>607</v>
      </c>
      <c r="D435" s="12">
        <v>31</v>
      </c>
      <c r="E435" s="13">
        <v>2.7141630901287557</v>
      </c>
    </row>
    <row r="436" spans="1:5">
      <c r="A436" s="3" t="s">
        <v>639</v>
      </c>
      <c r="B436" s="11" t="s">
        <v>555</v>
      </c>
      <c r="C436" s="11" t="s">
        <v>607</v>
      </c>
      <c r="D436" s="12">
        <v>32</v>
      </c>
      <c r="E436" s="13">
        <v>2.8017167381974248</v>
      </c>
    </row>
    <row r="437" spans="1:5">
      <c r="A437" s="3" t="s">
        <v>640</v>
      </c>
      <c r="B437" s="11" t="s">
        <v>555</v>
      </c>
      <c r="C437" s="11" t="s">
        <v>607</v>
      </c>
      <c r="D437" s="12">
        <v>33</v>
      </c>
      <c r="E437" s="13">
        <v>2.889270386266094</v>
      </c>
    </row>
    <row r="438" spans="1:5">
      <c r="A438" s="3" t="s">
        <v>641</v>
      </c>
      <c r="B438" s="11" t="s">
        <v>555</v>
      </c>
      <c r="C438" s="11" t="s">
        <v>607</v>
      </c>
      <c r="D438" s="12">
        <v>34</v>
      </c>
      <c r="E438" s="13">
        <v>2.9768240343347636</v>
      </c>
    </row>
    <row r="439" spans="1:5">
      <c r="A439" s="3" t="s">
        <v>642</v>
      </c>
      <c r="B439" s="11" t="s">
        <v>555</v>
      </c>
      <c r="C439" s="11" t="s">
        <v>607</v>
      </c>
      <c r="D439" s="12">
        <v>35</v>
      </c>
      <c r="E439" s="13">
        <v>3.0643776824034332</v>
      </c>
    </row>
    <row r="440" spans="1:5">
      <c r="A440" s="3" t="s">
        <v>643</v>
      </c>
      <c r="B440" s="11" t="s">
        <v>555</v>
      </c>
      <c r="C440" s="11" t="s">
        <v>607</v>
      </c>
      <c r="D440" s="12">
        <v>36</v>
      </c>
      <c r="E440" s="13">
        <v>3.1519313304721028</v>
      </c>
    </row>
    <row r="441" spans="1:5">
      <c r="A441" s="3" t="s">
        <v>644</v>
      </c>
      <c r="B441" s="11" t="s">
        <v>555</v>
      </c>
      <c r="C441" s="11" t="s">
        <v>607</v>
      </c>
      <c r="D441" s="12">
        <v>37</v>
      </c>
      <c r="E441" s="13">
        <v>3.2394849785407724</v>
      </c>
    </row>
    <row r="442" spans="1:5">
      <c r="A442" s="3" t="s">
        <v>645</v>
      </c>
      <c r="B442" s="11" t="s">
        <v>555</v>
      </c>
      <c r="C442" s="11" t="s">
        <v>607</v>
      </c>
      <c r="D442" s="12">
        <v>38</v>
      </c>
      <c r="E442" s="13">
        <v>3.3270386266094425</v>
      </c>
    </row>
    <row r="443" spans="1:5">
      <c r="A443" s="3" t="s">
        <v>646</v>
      </c>
      <c r="B443" s="11" t="s">
        <v>555</v>
      </c>
      <c r="C443" s="11" t="s">
        <v>607</v>
      </c>
      <c r="D443" s="12">
        <v>39</v>
      </c>
      <c r="E443" s="13">
        <v>3.4145922746781121</v>
      </c>
    </row>
    <row r="444" spans="1:5">
      <c r="A444" s="3" t="s">
        <v>647</v>
      </c>
      <c r="B444" s="11" t="s">
        <v>555</v>
      </c>
      <c r="C444" s="11" t="s">
        <v>607</v>
      </c>
      <c r="D444" s="12">
        <v>40</v>
      </c>
      <c r="E444" s="13">
        <v>3.5021459227467817</v>
      </c>
    </row>
    <row r="445" spans="1:5">
      <c r="A445" s="3" t="s">
        <v>648</v>
      </c>
      <c r="B445" s="11" t="s">
        <v>555</v>
      </c>
      <c r="C445" s="11" t="s">
        <v>607</v>
      </c>
      <c r="D445" s="12">
        <v>41</v>
      </c>
      <c r="E445" s="13">
        <v>3.5896995708154509</v>
      </c>
    </row>
    <row r="446" spans="1:5">
      <c r="A446" s="3" t="s">
        <v>649</v>
      </c>
      <c r="B446" s="11" t="s">
        <v>555</v>
      </c>
      <c r="C446" s="11" t="s">
        <v>607</v>
      </c>
      <c r="D446" s="12">
        <v>42</v>
      </c>
      <c r="E446" s="13">
        <v>3.6772532188841205</v>
      </c>
    </row>
    <row r="447" spans="1:5">
      <c r="A447" s="3" t="s">
        <v>650</v>
      </c>
      <c r="B447" s="11" t="s">
        <v>555</v>
      </c>
      <c r="C447" s="11" t="s">
        <v>607</v>
      </c>
      <c r="D447" s="12">
        <v>43</v>
      </c>
      <c r="E447" s="13">
        <v>3.7648068669527897</v>
      </c>
    </row>
    <row r="448" spans="1:5">
      <c r="A448" s="3" t="s">
        <v>651</v>
      </c>
      <c r="B448" s="11" t="s">
        <v>555</v>
      </c>
      <c r="C448" s="11" t="s">
        <v>607</v>
      </c>
      <c r="D448" s="12">
        <v>44</v>
      </c>
      <c r="E448" s="13">
        <v>3.8523605150214593</v>
      </c>
    </row>
    <row r="449" spans="1:5">
      <c r="A449" s="3" t="s">
        <v>652</v>
      </c>
      <c r="B449" s="11" t="s">
        <v>555</v>
      </c>
      <c r="C449" s="11" t="s">
        <v>607</v>
      </c>
      <c r="D449" s="12">
        <v>45</v>
      </c>
      <c r="E449" s="13">
        <v>3.9399141630901289</v>
      </c>
    </row>
    <row r="450" spans="1:5">
      <c r="A450" s="3" t="s">
        <v>653</v>
      </c>
      <c r="B450" s="11" t="s">
        <v>555</v>
      </c>
      <c r="C450" s="11" t="s">
        <v>607</v>
      </c>
      <c r="D450" s="12">
        <v>46</v>
      </c>
      <c r="E450" s="13">
        <v>4.0274678111587985</v>
      </c>
    </row>
    <row r="451" spans="1:5">
      <c r="A451" s="3" t="s">
        <v>654</v>
      </c>
      <c r="B451" s="11" t="s">
        <v>555</v>
      </c>
      <c r="C451" s="11" t="s">
        <v>607</v>
      </c>
      <c r="D451" s="12">
        <v>47</v>
      </c>
      <c r="E451" s="13">
        <v>4.1150214592274681</v>
      </c>
    </row>
    <row r="452" spans="1:5">
      <c r="A452" s="3" t="s">
        <v>655</v>
      </c>
      <c r="B452" s="11" t="s">
        <v>555</v>
      </c>
      <c r="C452" s="11" t="s">
        <v>607</v>
      </c>
      <c r="D452" s="12">
        <v>48</v>
      </c>
      <c r="E452" s="13">
        <v>4.2025751072961377</v>
      </c>
    </row>
    <row r="453" spans="1:5">
      <c r="A453" s="3" t="s">
        <v>656</v>
      </c>
      <c r="B453" s="11" t="s">
        <v>555</v>
      </c>
      <c r="C453" s="11" t="s">
        <v>607</v>
      </c>
      <c r="D453" s="12">
        <v>49</v>
      </c>
      <c r="E453" s="13">
        <v>4.2901287553648064</v>
      </c>
    </row>
    <row r="454" spans="1:5">
      <c r="A454" s="3" t="s">
        <v>657</v>
      </c>
      <c r="B454" s="11" t="s">
        <v>555</v>
      </c>
      <c r="C454" s="11" t="s">
        <v>607</v>
      </c>
      <c r="D454" s="12">
        <v>50</v>
      </c>
      <c r="E454" s="13">
        <v>4.3776824034334769</v>
      </c>
    </row>
    <row r="455" spans="1:5">
      <c r="A455" s="3" t="s">
        <v>658</v>
      </c>
      <c r="B455" s="11" t="s">
        <v>555</v>
      </c>
      <c r="C455" s="11" t="s">
        <v>607</v>
      </c>
      <c r="D455" s="12">
        <v>51</v>
      </c>
      <c r="E455" s="13">
        <v>4.4652360515021456</v>
      </c>
    </row>
    <row r="456" spans="1:5">
      <c r="A456" s="3" t="s">
        <v>659</v>
      </c>
      <c r="B456" s="11" t="s">
        <v>555</v>
      </c>
      <c r="C456" s="11" t="s">
        <v>607</v>
      </c>
      <c r="D456" s="12">
        <v>52</v>
      </c>
      <c r="E456" s="13">
        <v>4.5527896995708153</v>
      </c>
    </row>
    <row r="457" spans="1:5">
      <c r="A457" s="3" t="s">
        <v>660</v>
      </c>
      <c r="B457" s="11" t="s">
        <v>555</v>
      </c>
      <c r="C457" s="11" t="s">
        <v>607</v>
      </c>
      <c r="D457" s="12">
        <v>53</v>
      </c>
      <c r="E457" s="13">
        <v>4.6403433476394849</v>
      </c>
    </row>
    <row r="458" spans="1:5">
      <c r="A458" s="3" t="s">
        <v>661</v>
      </c>
      <c r="B458" s="11" t="s">
        <v>555</v>
      </c>
      <c r="C458" s="11" t="s">
        <v>607</v>
      </c>
      <c r="D458" s="12">
        <v>54</v>
      </c>
      <c r="E458" s="13">
        <v>4.7278969957081554</v>
      </c>
    </row>
    <row r="459" spans="1:5">
      <c r="A459" s="3" t="s">
        <v>662</v>
      </c>
      <c r="B459" s="11" t="s">
        <v>555</v>
      </c>
      <c r="C459" s="11" t="s">
        <v>607</v>
      </c>
      <c r="D459" s="12">
        <v>55</v>
      </c>
      <c r="E459" s="13">
        <v>4.815450643776825</v>
      </c>
    </row>
    <row r="460" spans="1:5">
      <c r="A460" s="3" t="s">
        <v>663</v>
      </c>
      <c r="B460" s="11" t="s">
        <v>555</v>
      </c>
      <c r="C460" s="11" t="s">
        <v>607</v>
      </c>
      <c r="D460" s="12">
        <v>56</v>
      </c>
      <c r="E460" s="13">
        <v>4.9030042918454946</v>
      </c>
    </row>
    <row r="461" spans="1:5">
      <c r="A461" s="3" t="s">
        <v>664</v>
      </c>
      <c r="B461" s="11" t="s">
        <v>555</v>
      </c>
      <c r="C461" s="11" t="s">
        <v>607</v>
      </c>
      <c r="D461" s="12">
        <v>57</v>
      </c>
      <c r="E461" s="13">
        <v>4.9905579399141642</v>
      </c>
    </row>
    <row r="462" spans="1:5">
      <c r="A462" s="3" t="s">
        <v>665</v>
      </c>
      <c r="B462" s="11" t="s">
        <v>555</v>
      </c>
      <c r="C462" s="11" t="s">
        <v>607</v>
      </c>
      <c r="D462" s="12">
        <v>58</v>
      </c>
      <c r="E462" s="13">
        <v>5.0781115879828338</v>
      </c>
    </row>
    <row r="463" spans="1:5">
      <c r="A463" s="3" t="s">
        <v>666</v>
      </c>
      <c r="B463" s="11" t="s">
        <v>555</v>
      </c>
      <c r="C463" s="11" t="s">
        <v>607</v>
      </c>
      <c r="D463" s="12">
        <v>59</v>
      </c>
      <c r="E463" s="13">
        <v>5.1656652360515034</v>
      </c>
    </row>
    <row r="464" spans="1:5">
      <c r="A464" s="3" t="s">
        <v>667</v>
      </c>
      <c r="B464" s="11" t="s">
        <v>555</v>
      </c>
      <c r="C464" s="11" t="s">
        <v>607</v>
      </c>
      <c r="D464" s="12">
        <v>60</v>
      </c>
      <c r="E464" s="13">
        <v>5.253218884120173</v>
      </c>
    </row>
    <row r="465" spans="1:5">
      <c r="A465" s="3" t="s">
        <v>668</v>
      </c>
      <c r="B465" s="11" t="s">
        <v>555</v>
      </c>
      <c r="C465" s="11" t="s">
        <v>607</v>
      </c>
      <c r="D465" s="12">
        <v>61</v>
      </c>
      <c r="E465" s="13">
        <v>5.3407725321888408</v>
      </c>
    </row>
    <row r="466" spans="1:5">
      <c r="A466" s="3" t="s">
        <v>669</v>
      </c>
      <c r="B466" s="11" t="s">
        <v>555</v>
      </c>
      <c r="C466" s="11" t="s">
        <v>607</v>
      </c>
      <c r="D466" s="12">
        <v>62</v>
      </c>
      <c r="E466" s="13">
        <v>5.4283261802575113</v>
      </c>
    </row>
    <row r="467" spans="1:5">
      <c r="A467" s="3" t="s">
        <v>670</v>
      </c>
      <c r="B467" s="11" t="s">
        <v>555</v>
      </c>
      <c r="C467" s="11" t="s">
        <v>607</v>
      </c>
      <c r="D467" s="12">
        <v>63</v>
      </c>
      <c r="E467" s="13">
        <v>5.5158798283261801</v>
      </c>
    </row>
    <row r="468" spans="1:5">
      <c r="A468" s="3" t="s">
        <v>671</v>
      </c>
      <c r="B468" s="11" t="s">
        <v>555</v>
      </c>
      <c r="C468" s="11" t="s">
        <v>607</v>
      </c>
      <c r="D468" s="12">
        <v>64</v>
      </c>
      <c r="E468" s="13">
        <v>5.6034334763948497</v>
      </c>
    </row>
    <row r="469" spans="1:5">
      <c r="A469" s="3" t="s">
        <v>672</v>
      </c>
      <c r="B469" s="11" t="s">
        <v>555</v>
      </c>
      <c r="C469" s="11" t="s">
        <v>607</v>
      </c>
      <c r="D469" s="12">
        <v>65</v>
      </c>
      <c r="E469" s="13">
        <v>5.6909871244635193</v>
      </c>
    </row>
    <row r="470" spans="1:5">
      <c r="A470" s="3" t="s">
        <v>673</v>
      </c>
      <c r="B470" s="11" t="s">
        <v>555</v>
      </c>
      <c r="C470" s="11" t="s">
        <v>607</v>
      </c>
      <c r="D470" s="12">
        <v>66</v>
      </c>
      <c r="E470" s="13">
        <v>5.778540772532188</v>
      </c>
    </row>
    <row r="471" spans="1:5">
      <c r="A471" s="3" t="s">
        <v>674</v>
      </c>
      <c r="B471" s="11" t="s">
        <v>555</v>
      </c>
      <c r="C471" s="11" t="s">
        <v>607</v>
      </c>
      <c r="D471" s="12">
        <v>67</v>
      </c>
      <c r="E471" s="13">
        <v>5.8660944206008585</v>
      </c>
    </row>
    <row r="472" spans="1:5">
      <c r="A472" s="3" t="s">
        <v>675</v>
      </c>
      <c r="B472" s="11" t="s">
        <v>555</v>
      </c>
      <c r="C472" s="11" t="s">
        <v>607</v>
      </c>
      <c r="D472" s="12">
        <v>68</v>
      </c>
      <c r="E472" s="13">
        <v>5.9536480686695272</v>
      </c>
    </row>
    <row r="473" spans="1:5">
      <c r="A473" s="3" t="s">
        <v>676</v>
      </c>
      <c r="B473" s="11" t="s">
        <v>555</v>
      </c>
      <c r="C473" s="11" t="s">
        <v>607</v>
      </c>
      <c r="D473" s="12">
        <v>69</v>
      </c>
      <c r="E473" s="13">
        <v>6.0412017167381977</v>
      </c>
    </row>
    <row r="474" spans="1:5">
      <c r="A474" s="3" t="s">
        <v>677</v>
      </c>
      <c r="B474" s="11" t="s">
        <v>555</v>
      </c>
      <c r="C474" s="11" t="s">
        <v>607</v>
      </c>
      <c r="D474" s="12">
        <v>70</v>
      </c>
      <c r="E474" s="13">
        <v>6.1287553648068664</v>
      </c>
    </row>
    <row r="475" spans="1:5">
      <c r="A475" s="3" t="s">
        <v>678</v>
      </c>
      <c r="B475" s="11" t="s">
        <v>555</v>
      </c>
      <c r="C475" s="11" t="s">
        <v>607</v>
      </c>
      <c r="D475" s="12">
        <v>71</v>
      </c>
      <c r="E475" s="13">
        <v>6.2163090128755369</v>
      </c>
    </row>
    <row r="476" spans="1:5">
      <c r="A476" s="3" t="s">
        <v>679</v>
      </c>
      <c r="B476" s="11" t="s">
        <v>555</v>
      </c>
      <c r="C476" s="11" t="s">
        <v>607</v>
      </c>
      <c r="D476" s="12">
        <v>72</v>
      </c>
      <c r="E476" s="13">
        <v>6.3038626609442057</v>
      </c>
    </row>
    <row r="477" spans="1:5">
      <c r="A477" s="3" t="s">
        <v>680</v>
      </c>
      <c r="B477" s="11" t="s">
        <v>555</v>
      </c>
      <c r="C477" s="11" t="s">
        <v>607</v>
      </c>
      <c r="D477" s="12">
        <v>73</v>
      </c>
      <c r="E477" s="13">
        <v>6.3914163090128762</v>
      </c>
    </row>
    <row r="478" spans="1:5">
      <c r="A478" s="3" t="s">
        <v>681</v>
      </c>
      <c r="B478" s="11" t="s">
        <v>555</v>
      </c>
      <c r="C478" s="11" t="s">
        <v>607</v>
      </c>
      <c r="D478" s="12">
        <v>74</v>
      </c>
      <c r="E478" s="13">
        <v>6.4789699570815449</v>
      </c>
    </row>
    <row r="479" spans="1:5">
      <c r="A479" s="3" t="s">
        <v>682</v>
      </c>
      <c r="B479" s="11" t="s">
        <v>555</v>
      </c>
      <c r="C479" s="11" t="s">
        <v>607</v>
      </c>
      <c r="D479" s="12">
        <v>75</v>
      </c>
      <c r="E479" s="13">
        <v>6.5665236051502154</v>
      </c>
    </row>
    <row r="480" spans="1:5">
      <c r="A480" s="3" t="s">
        <v>683</v>
      </c>
      <c r="B480" s="11" t="s">
        <v>555</v>
      </c>
      <c r="C480" s="11" t="s">
        <v>607</v>
      </c>
      <c r="D480" s="12">
        <v>76</v>
      </c>
      <c r="E480" s="13">
        <v>6.654077253218885</v>
      </c>
    </row>
    <row r="481" spans="1:5">
      <c r="A481" s="3" t="s">
        <v>684</v>
      </c>
      <c r="B481" s="11" t="s">
        <v>555</v>
      </c>
      <c r="C481" s="11" t="s">
        <v>607</v>
      </c>
      <c r="D481" s="12">
        <v>77</v>
      </c>
      <c r="E481" s="13">
        <v>6.7416309012875546</v>
      </c>
    </row>
    <row r="482" spans="1:5">
      <c r="A482" s="3" t="s">
        <v>685</v>
      </c>
      <c r="B482" s="11" t="s">
        <v>555</v>
      </c>
      <c r="C482" s="11" t="s">
        <v>607</v>
      </c>
      <c r="D482" s="12">
        <v>78</v>
      </c>
      <c r="E482" s="13">
        <v>6.8291845493562242</v>
      </c>
    </row>
    <row r="483" spans="1:5">
      <c r="A483" s="3" t="s">
        <v>686</v>
      </c>
      <c r="B483" s="11" t="s">
        <v>555</v>
      </c>
      <c r="C483" s="11" t="s">
        <v>607</v>
      </c>
      <c r="D483" s="12">
        <v>79</v>
      </c>
      <c r="E483" s="13">
        <v>6.9167381974248938</v>
      </c>
    </row>
    <row r="484" spans="1:5">
      <c r="A484" s="3" t="s">
        <v>687</v>
      </c>
      <c r="B484" s="11" t="s">
        <v>555</v>
      </c>
      <c r="C484" s="11" t="s">
        <v>607</v>
      </c>
      <c r="D484" s="12">
        <v>80</v>
      </c>
      <c r="E484" s="13">
        <v>7.0042918454935634</v>
      </c>
    </row>
    <row r="485" spans="1:5">
      <c r="A485" s="3" t="s">
        <v>688</v>
      </c>
      <c r="B485" s="11" t="s">
        <v>555</v>
      </c>
      <c r="C485" s="11" t="s">
        <v>607</v>
      </c>
      <c r="D485" s="12">
        <v>81</v>
      </c>
      <c r="E485" s="13">
        <v>7.091845493562233</v>
      </c>
    </row>
    <row r="486" spans="1:5">
      <c r="A486" s="3" t="s">
        <v>689</v>
      </c>
      <c r="B486" s="11" t="s">
        <v>555</v>
      </c>
      <c r="C486" s="11" t="s">
        <v>607</v>
      </c>
      <c r="D486" s="12">
        <v>82</v>
      </c>
      <c r="E486" s="13">
        <v>7.1793991416309018</v>
      </c>
    </row>
    <row r="487" spans="1:5">
      <c r="A487" s="3" t="s">
        <v>690</v>
      </c>
      <c r="B487" s="11" t="s">
        <v>555</v>
      </c>
      <c r="C487" s="11" t="s">
        <v>607</v>
      </c>
      <c r="D487" s="12">
        <v>83</v>
      </c>
      <c r="E487" s="13">
        <v>7.2669527896995723</v>
      </c>
    </row>
    <row r="488" spans="1:5">
      <c r="A488" s="3" t="s">
        <v>691</v>
      </c>
      <c r="B488" s="11" t="s">
        <v>555</v>
      </c>
      <c r="C488" s="11" t="s">
        <v>607</v>
      </c>
      <c r="D488" s="12">
        <v>84</v>
      </c>
      <c r="E488" s="13">
        <v>7.354506437768241</v>
      </c>
    </row>
    <row r="489" spans="1:5">
      <c r="A489" s="3" t="s">
        <v>692</v>
      </c>
      <c r="B489" s="11" t="s">
        <v>555</v>
      </c>
      <c r="C489" s="11" t="s">
        <v>607</v>
      </c>
      <c r="D489" s="12">
        <v>85</v>
      </c>
      <c r="E489" s="13">
        <v>7.4420600858369115</v>
      </c>
    </row>
    <row r="490" spans="1:5">
      <c r="A490" s="3" t="s">
        <v>693</v>
      </c>
      <c r="B490" s="11" t="s">
        <v>555</v>
      </c>
      <c r="C490" s="11" t="s">
        <v>607</v>
      </c>
      <c r="D490" s="12">
        <v>86</v>
      </c>
      <c r="E490" s="13">
        <v>7.5296137339055793</v>
      </c>
    </row>
    <row r="491" spans="1:5">
      <c r="A491" s="3" t="s">
        <v>694</v>
      </c>
      <c r="B491" s="11" t="s">
        <v>555</v>
      </c>
      <c r="C491" s="11" t="s">
        <v>607</v>
      </c>
      <c r="D491" s="12">
        <v>87</v>
      </c>
      <c r="E491" s="13">
        <v>7.6171673819742489</v>
      </c>
    </row>
    <row r="492" spans="1:5">
      <c r="A492" s="3" t="s">
        <v>695</v>
      </c>
      <c r="B492" s="11" t="s">
        <v>555</v>
      </c>
      <c r="C492" s="11" t="s">
        <v>607</v>
      </c>
      <c r="D492" s="12">
        <v>88</v>
      </c>
      <c r="E492" s="13">
        <v>7.7047210300429185</v>
      </c>
    </row>
    <row r="493" spans="1:5">
      <c r="A493" s="3" t="s">
        <v>696</v>
      </c>
      <c r="B493" s="11" t="s">
        <v>555</v>
      </c>
      <c r="C493" s="11" t="s">
        <v>607</v>
      </c>
      <c r="D493" s="12">
        <v>89</v>
      </c>
      <c r="E493" s="13">
        <v>7.7922746781115872</v>
      </c>
    </row>
    <row r="494" spans="1:5">
      <c r="A494" s="3" t="s">
        <v>697</v>
      </c>
      <c r="B494" s="11" t="s">
        <v>555</v>
      </c>
      <c r="C494" s="11" t="s">
        <v>607</v>
      </c>
      <c r="D494" s="12">
        <v>90</v>
      </c>
      <c r="E494" s="13">
        <v>7.8798283261802577</v>
      </c>
    </row>
    <row r="495" spans="1:5">
      <c r="A495" s="3" t="s">
        <v>698</v>
      </c>
      <c r="B495" s="11" t="s">
        <v>555</v>
      </c>
      <c r="C495" s="11" t="s">
        <v>607</v>
      </c>
      <c r="D495" s="12">
        <v>91</v>
      </c>
      <c r="E495" s="13">
        <v>7.9673819742489265</v>
      </c>
    </row>
    <row r="496" spans="1:5">
      <c r="A496" s="3" t="s">
        <v>699</v>
      </c>
      <c r="B496" s="11" t="s">
        <v>555</v>
      </c>
      <c r="C496" s="11" t="s">
        <v>607</v>
      </c>
      <c r="D496" s="12">
        <v>92</v>
      </c>
      <c r="E496" s="13">
        <v>8.054935622317597</v>
      </c>
    </row>
    <row r="497" spans="1:5">
      <c r="A497" s="3" t="s">
        <v>700</v>
      </c>
      <c r="B497" s="11" t="s">
        <v>555</v>
      </c>
      <c r="C497" s="11" t="s">
        <v>607</v>
      </c>
      <c r="D497" s="12">
        <v>93</v>
      </c>
      <c r="E497" s="13">
        <v>8.1424892703862657</v>
      </c>
    </row>
    <row r="498" spans="1:5">
      <c r="A498" s="3" t="s">
        <v>701</v>
      </c>
      <c r="B498" s="11" t="s">
        <v>555</v>
      </c>
      <c r="C498" s="11" t="s">
        <v>607</v>
      </c>
      <c r="D498" s="12">
        <v>94</v>
      </c>
      <c r="E498" s="13">
        <v>8.2300429184549362</v>
      </c>
    </row>
    <row r="499" spans="1:5">
      <c r="A499" s="3" t="s">
        <v>702</v>
      </c>
      <c r="B499" s="11" t="s">
        <v>555</v>
      </c>
      <c r="C499" s="11" t="s">
        <v>607</v>
      </c>
      <c r="D499" s="12">
        <v>95</v>
      </c>
      <c r="E499" s="13">
        <v>8.3175965665236067</v>
      </c>
    </row>
    <row r="500" spans="1:5">
      <c r="A500" s="3" t="s">
        <v>703</v>
      </c>
      <c r="B500" s="11" t="s">
        <v>555</v>
      </c>
      <c r="C500" s="11" t="s">
        <v>607</v>
      </c>
      <c r="D500" s="12">
        <v>96</v>
      </c>
      <c r="E500" s="13">
        <v>8.4051502145922754</v>
      </c>
    </row>
    <row r="501" spans="1:5">
      <c r="A501" s="3" t="s">
        <v>704</v>
      </c>
      <c r="B501" s="11" t="s">
        <v>555</v>
      </c>
      <c r="C501" s="11" t="s">
        <v>607</v>
      </c>
      <c r="D501" s="12">
        <v>97</v>
      </c>
      <c r="E501" s="13">
        <v>8.4927038626609441</v>
      </c>
    </row>
    <row r="502" spans="1:5">
      <c r="A502" s="3" t="s">
        <v>705</v>
      </c>
      <c r="B502" s="11" t="s">
        <v>555</v>
      </c>
      <c r="C502" s="11" t="s">
        <v>607</v>
      </c>
      <c r="D502" s="12">
        <v>98</v>
      </c>
      <c r="E502" s="13">
        <v>8.5802575107296128</v>
      </c>
    </row>
    <row r="503" spans="1:5">
      <c r="A503" s="3" t="s">
        <v>706</v>
      </c>
      <c r="B503" s="11" t="s">
        <v>555</v>
      </c>
      <c r="C503" s="11" t="s">
        <v>607</v>
      </c>
      <c r="D503" s="12">
        <v>99</v>
      </c>
      <c r="E503" s="13">
        <v>8.6678111587982851</v>
      </c>
    </row>
    <row r="504" spans="1:5">
      <c r="A504" s="3" t="s">
        <v>707</v>
      </c>
      <c r="B504" s="11" t="s">
        <v>555</v>
      </c>
      <c r="C504" s="11" t="s">
        <v>607</v>
      </c>
      <c r="D504" s="12">
        <v>100</v>
      </c>
      <c r="E504" s="13">
        <v>8.7553648068669538</v>
      </c>
    </row>
    <row r="505" spans="1:5">
      <c r="A505" s="3" t="s">
        <v>708</v>
      </c>
      <c r="B505" s="11" t="s">
        <v>555</v>
      </c>
      <c r="C505" s="11" t="s">
        <v>709</v>
      </c>
      <c r="D505" s="12">
        <v>0</v>
      </c>
      <c r="E505" s="13">
        <v>0</v>
      </c>
    </row>
    <row r="506" spans="1:5">
      <c r="A506" s="3" t="s">
        <v>710</v>
      </c>
      <c r="B506" s="11" t="s">
        <v>555</v>
      </c>
      <c r="C506" s="11" t="s">
        <v>709</v>
      </c>
      <c r="D506" s="12">
        <v>1</v>
      </c>
      <c r="E506" s="13">
        <v>0.41201716738197425</v>
      </c>
    </row>
    <row r="507" spans="1:5">
      <c r="A507" s="3" t="s">
        <v>711</v>
      </c>
      <c r="B507" s="11" t="s">
        <v>555</v>
      </c>
      <c r="C507" s="11" t="s">
        <v>709</v>
      </c>
      <c r="D507" s="12">
        <v>2</v>
      </c>
      <c r="E507" s="13">
        <v>0.82403433476394849</v>
      </c>
    </row>
    <row r="508" spans="1:5">
      <c r="A508" s="3" t="s">
        <v>712</v>
      </c>
      <c r="B508" s="11" t="s">
        <v>555</v>
      </c>
      <c r="C508" s="11" t="s">
        <v>709</v>
      </c>
      <c r="D508" s="12">
        <v>3</v>
      </c>
      <c r="E508" s="13">
        <v>1.2360515021459231</v>
      </c>
    </row>
    <row r="509" spans="1:5">
      <c r="A509" s="3" t="s">
        <v>713</v>
      </c>
      <c r="B509" s="11" t="s">
        <v>555</v>
      </c>
      <c r="C509" s="11" t="s">
        <v>709</v>
      </c>
      <c r="D509" s="12">
        <v>4</v>
      </c>
      <c r="E509" s="13">
        <v>1.648068669527897</v>
      </c>
    </row>
    <row r="510" spans="1:5">
      <c r="A510" s="3" t="s">
        <v>714</v>
      </c>
      <c r="B510" s="11" t="s">
        <v>555</v>
      </c>
      <c r="C510" s="11" t="s">
        <v>709</v>
      </c>
      <c r="D510" s="12">
        <v>5</v>
      </c>
      <c r="E510" s="13">
        <v>2.0600858369098711</v>
      </c>
    </row>
    <row r="511" spans="1:5">
      <c r="A511" s="3" t="s">
        <v>715</v>
      </c>
      <c r="B511" s="11" t="s">
        <v>555</v>
      </c>
      <c r="C511" s="11" t="s">
        <v>709</v>
      </c>
      <c r="D511" s="12">
        <v>6</v>
      </c>
      <c r="E511" s="13">
        <v>2.4721030042918457</v>
      </c>
    </row>
    <row r="512" spans="1:5">
      <c r="A512" s="3" t="s">
        <v>716</v>
      </c>
      <c r="B512" s="11" t="s">
        <v>555</v>
      </c>
      <c r="C512" s="11" t="s">
        <v>709</v>
      </c>
      <c r="D512" s="12">
        <v>7</v>
      </c>
      <c r="E512" s="13">
        <v>2.8841201716738198</v>
      </c>
    </row>
    <row r="513" spans="1:5">
      <c r="A513" s="3" t="s">
        <v>717</v>
      </c>
      <c r="B513" s="11" t="s">
        <v>555</v>
      </c>
      <c r="C513" s="11" t="s">
        <v>709</v>
      </c>
      <c r="D513" s="12">
        <v>8</v>
      </c>
      <c r="E513" s="13">
        <v>3.2961373390557935</v>
      </c>
    </row>
    <row r="514" spans="1:5">
      <c r="A514" s="3" t="s">
        <v>718</v>
      </c>
      <c r="B514" s="11" t="s">
        <v>555</v>
      </c>
      <c r="C514" s="11" t="s">
        <v>709</v>
      </c>
      <c r="D514" s="12">
        <v>9</v>
      </c>
      <c r="E514" s="13">
        <v>3.7081545064377677</v>
      </c>
    </row>
    <row r="515" spans="1:5">
      <c r="A515" s="3" t="s">
        <v>719</v>
      </c>
      <c r="B515" s="11" t="s">
        <v>555</v>
      </c>
      <c r="C515" s="11" t="s">
        <v>709</v>
      </c>
      <c r="D515" s="12">
        <v>10</v>
      </c>
      <c r="E515" s="13">
        <v>4.1201716738197423</v>
      </c>
    </row>
    <row r="516" spans="1:5">
      <c r="A516" s="3" t="s">
        <v>720</v>
      </c>
      <c r="B516" s="11" t="s">
        <v>555</v>
      </c>
      <c r="C516" s="11" t="s">
        <v>709</v>
      </c>
      <c r="D516" s="12">
        <v>11</v>
      </c>
      <c r="E516" s="13">
        <v>4.5321888412017159</v>
      </c>
    </row>
    <row r="517" spans="1:5">
      <c r="A517" s="3" t="s">
        <v>721</v>
      </c>
      <c r="B517" s="11" t="s">
        <v>555</v>
      </c>
      <c r="C517" s="11" t="s">
        <v>709</v>
      </c>
      <c r="D517" s="12">
        <v>12</v>
      </c>
      <c r="E517" s="13">
        <v>4.9442060085836914</v>
      </c>
    </row>
    <row r="518" spans="1:5">
      <c r="A518" s="3" t="s">
        <v>722</v>
      </c>
      <c r="B518" s="11" t="s">
        <v>555</v>
      </c>
      <c r="C518" s="11" t="s">
        <v>709</v>
      </c>
      <c r="D518" s="12">
        <v>13</v>
      </c>
      <c r="E518" s="13">
        <v>5.3562231759656651</v>
      </c>
    </row>
    <row r="519" spans="1:5">
      <c r="A519" s="3" t="s">
        <v>723</v>
      </c>
      <c r="B519" s="11" t="s">
        <v>555</v>
      </c>
      <c r="C519" s="11" t="s">
        <v>709</v>
      </c>
      <c r="D519" s="12">
        <v>14</v>
      </c>
      <c r="E519" s="13">
        <v>5.7682403433476406</v>
      </c>
    </row>
    <row r="520" spans="1:5">
      <c r="A520" s="3" t="s">
        <v>724</v>
      </c>
      <c r="B520" s="11" t="s">
        <v>555</v>
      </c>
      <c r="C520" s="11" t="s">
        <v>709</v>
      </c>
      <c r="D520" s="12">
        <v>15</v>
      </c>
      <c r="E520" s="13">
        <v>6.1802575107296152</v>
      </c>
    </row>
    <row r="521" spans="1:5">
      <c r="A521" s="3" t="s">
        <v>725</v>
      </c>
      <c r="B521" s="11" t="s">
        <v>555</v>
      </c>
      <c r="C521" s="11" t="s">
        <v>709</v>
      </c>
      <c r="D521" s="12">
        <v>16</v>
      </c>
      <c r="E521" s="13">
        <v>6.5922746781115888</v>
      </c>
    </row>
    <row r="522" spans="1:5">
      <c r="A522" s="3" t="s">
        <v>726</v>
      </c>
      <c r="B522" s="11" t="s">
        <v>555</v>
      </c>
      <c r="C522" s="11" t="s">
        <v>709</v>
      </c>
      <c r="D522" s="12">
        <v>17</v>
      </c>
      <c r="E522" s="13">
        <v>7.0042918454935643</v>
      </c>
    </row>
    <row r="523" spans="1:5">
      <c r="A523" s="3" t="s">
        <v>727</v>
      </c>
      <c r="B523" s="11" t="s">
        <v>555</v>
      </c>
      <c r="C523" s="11" t="s">
        <v>709</v>
      </c>
      <c r="D523" s="12">
        <v>18</v>
      </c>
      <c r="E523" s="13">
        <v>7.4163090128755389</v>
      </c>
    </row>
    <row r="524" spans="1:5">
      <c r="A524" s="3" t="s">
        <v>728</v>
      </c>
      <c r="B524" s="11" t="s">
        <v>555</v>
      </c>
      <c r="C524" s="11" t="s">
        <v>709</v>
      </c>
      <c r="D524" s="12">
        <v>19</v>
      </c>
      <c r="E524" s="13">
        <v>7.8283261802575135</v>
      </c>
    </row>
    <row r="525" spans="1:5">
      <c r="A525" s="3" t="s">
        <v>729</v>
      </c>
      <c r="B525" s="11" t="s">
        <v>555</v>
      </c>
      <c r="C525" s="11" t="s">
        <v>709</v>
      </c>
      <c r="D525" s="12">
        <v>20</v>
      </c>
      <c r="E525" s="13">
        <v>8.2403433476394863</v>
      </c>
    </row>
    <row r="526" spans="1:5">
      <c r="A526" s="3" t="s">
        <v>730</v>
      </c>
      <c r="B526" s="11" t="s">
        <v>3</v>
      </c>
      <c r="C526" s="11" t="s">
        <v>3</v>
      </c>
      <c r="D526" s="3" t="e">
        <f>A526*(1+B526)*(1+C526)</f>
        <v>#VALUE!</v>
      </c>
      <c r="E526" s="13">
        <v>3.6051502145922742</v>
      </c>
    </row>
    <row r="527" spans="1:5">
      <c r="A527" s="3" t="s">
        <v>731</v>
      </c>
      <c r="B527" s="11" t="s">
        <v>3</v>
      </c>
      <c r="C527" s="11" t="s">
        <v>3</v>
      </c>
      <c r="D527" s="3" t="s">
        <v>12</v>
      </c>
      <c r="E527" s="13">
        <v>0</v>
      </c>
    </row>
    <row r="528" spans="1:5">
      <c r="A528" s="3" t="s">
        <v>732</v>
      </c>
      <c r="B528" s="11" t="s">
        <v>3</v>
      </c>
      <c r="C528" s="11" t="s">
        <v>3</v>
      </c>
      <c r="D528" s="3" t="s">
        <v>28</v>
      </c>
      <c r="E528" s="13">
        <v>1.2875536480686696</v>
      </c>
    </row>
    <row r="529" spans="1:5">
      <c r="A529" s="3" t="s">
        <v>733</v>
      </c>
      <c r="B529" s="11" t="s">
        <v>3</v>
      </c>
      <c r="C529" s="11" t="s">
        <v>3</v>
      </c>
      <c r="D529" s="3" t="s">
        <v>20</v>
      </c>
      <c r="E529" s="13">
        <v>0.72103004291845496</v>
      </c>
    </row>
    <row r="530" spans="1:5">
      <c r="A530" s="3" t="s">
        <v>734</v>
      </c>
      <c r="B530" s="11" t="s">
        <v>7</v>
      </c>
      <c r="C530" s="11" t="s">
        <v>7</v>
      </c>
      <c r="D530" s="3" t="s">
        <v>32</v>
      </c>
      <c r="E530" s="13">
        <v>1.5450643776824036</v>
      </c>
    </row>
    <row r="531" spans="1:5">
      <c r="A531" s="3" t="s">
        <v>735</v>
      </c>
      <c r="B531" s="11" t="s">
        <v>7</v>
      </c>
      <c r="C531" s="11" t="s">
        <v>7</v>
      </c>
      <c r="D531" s="3" t="s">
        <v>15</v>
      </c>
      <c r="E531" s="13">
        <v>0</v>
      </c>
    </row>
    <row r="532" spans="1:5">
      <c r="A532" s="3" t="s">
        <v>736</v>
      </c>
      <c r="B532" s="11" t="s">
        <v>7</v>
      </c>
      <c r="C532" s="11" t="s">
        <v>7</v>
      </c>
      <c r="D532" s="3" t="s">
        <v>24</v>
      </c>
      <c r="E532" s="13">
        <v>1.1587982832618027</v>
      </c>
    </row>
    <row r="533" spans="1:5">
      <c r="A533" s="3" t="s">
        <v>737</v>
      </c>
      <c r="B533" s="11" t="s">
        <v>7</v>
      </c>
      <c r="C533" s="11" t="s">
        <v>7</v>
      </c>
      <c r="D533" s="3" t="s">
        <v>38</v>
      </c>
      <c r="E533" s="13">
        <v>1.6738197424892705</v>
      </c>
    </row>
    <row r="534" spans="1:5">
      <c r="A534" s="3" t="s">
        <v>738</v>
      </c>
      <c r="B534" s="11" t="s">
        <v>739</v>
      </c>
      <c r="C534" s="11" t="s">
        <v>740</v>
      </c>
      <c r="D534" s="12">
        <v>0</v>
      </c>
      <c r="E534" s="13">
        <v>0</v>
      </c>
    </row>
    <row r="535" spans="1:5">
      <c r="A535" s="3" t="s">
        <v>741</v>
      </c>
      <c r="B535" s="11" t="s">
        <v>739</v>
      </c>
      <c r="C535" s="11" t="s">
        <v>740</v>
      </c>
      <c r="D535" s="12">
        <v>1</v>
      </c>
      <c r="E535" s="13">
        <v>0.36051502145922748</v>
      </c>
    </row>
    <row r="536" spans="1:5">
      <c r="A536" s="3" t="s">
        <v>742</v>
      </c>
      <c r="B536" s="11" t="s">
        <v>739</v>
      </c>
      <c r="C536" s="11" t="s">
        <v>740</v>
      </c>
      <c r="D536" s="12">
        <v>2</v>
      </c>
      <c r="E536" s="13">
        <v>0.72103004291845496</v>
      </c>
    </row>
    <row r="537" spans="1:5">
      <c r="A537" s="3" t="s">
        <v>743</v>
      </c>
      <c r="B537" s="11" t="s">
        <v>739</v>
      </c>
      <c r="C537" s="11" t="s">
        <v>740</v>
      </c>
      <c r="D537" s="12">
        <v>3</v>
      </c>
      <c r="E537" s="13">
        <v>1.0815450643776825</v>
      </c>
    </row>
    <row r="538" spans="1:5">
      <c r="A538" s="3" t="s">
        <v>744</v>
      </c>
      <c r="B538" s="11" t="s">
        <v>739</v>
      </c>
      <c r="C538" s="11" t="s">
        <v>740</v>
      </c>
      <c r="D538" s="12">
        <v>4</v>
      </c>
      <c r="E538" s="13">
        <v>1.4420600858369099</v>
      </c>
    </row>
    <row r="539" spans="1:5">
      <c r="A539" s="3" t="s">
        <v>745</v>
      </c>
      <c r="B539" s="11" t="s">
        <v>739</v>
      </c>
      <c r="C539" s="11" t="s">
        <v>740</v>
      </c>
      <c r="D539" s="12">
        <v>5</v>
      </c>
      <c r="E539" s="13">
        <v>1.8025751072961373</v>
      </c>
    </row>
    <row r="540" spans="1:5">
      <c r="A540" s="3" t="s">
        <v>746</v>
      </c>
      <c r="B540" s="11" t="s">
        <v>739</v>
      </c>
      <c r="C540" s="11" t="s">
        <v>740</v>
      </c>
      <c r="D540" s="12">
        <v>6</v>
      </c>
      <c r="E540" s="13">
        <v>2.163090128755365</v>
      </c>
    </row>
    <row r="541" spans="1:5">
      <c r="A541" s="3" t="s">
        <v>747</v>
      </c>
      <c r="B541" s="11" t="s">
        <v>739</v>
      </c>
      <c r="C541" s="11" t="s">
        <v>740</v>
      </c>
      <c r="D541" s="12">
        <v>7</v>
      </c>
      <c r="E541" s="13">
        <v>2.5236051502145922</v>
      </c>
    </row>
    <row r="542" spans="1:5">
      <c r="A542" s="3" t="s">
        <v>748</v>
      </c>
      <c r="B542" s="11" t="s">
        <v>739</v>
      </c>
      <c r="C542" s="11" t="s">
        <v>740</v>
      </c>
      <c r="D542" s="12">
        <v>8</v>
      </c>
      <c r="E542" s="13">
        <v>2.8841201716738198</v>
      </c>
    </row>
    <row r="543" spans="1:5">
      <c r="A543" s="3" t="s">
        <v>749</v>
      </c>
      <c r="B543" s="11" t="s">
        <v>739</v>
      </c>
      <c r="C543" s="11" t="s">
        <v>740</v>
      </c>
      <c r="D543" s="12">
        <v>9</v>
      </c>
      <c r="E543" s="13">
        <v>3.2446351931330475</v>
      </c>
    </row>
    <row r="544" spans="1:5">
      <c r="A544" s="3" t="s">
        <v>750</v>
      </c>
      <c r="B544" s="11" t="s">
        <v>739</v>
      </c>
      <c r="C544" s="11" t="s">
        <v>740</v>
      </c>
      <c r="D544" s="12">
        <v>10</v>
      </c>
      <c r="E544" s="13">
        <v>3.6051502145922747</v>
      </c>
    </row>
    <row r="545" spans="1:5">
      <c r="A545" s="3" t="s">
        <v>751</v>
      </c>
      <c r="B545" s="11" t="s">
        <v>739</v>
      </c>
      <c r="C545" s="11" t="s">
        <v>740</v>
      </c>
      <c r="D545" s="12">
        <v>11</v>
      </c>
      <c r="E545" s="13">
        <v>3.9656652360515023</v>
      </c>
    </row>
    <row r="546" spans="1:5">
      <c r="A546" s="3" t="s">
        <v>752</v>
      </c>
      <c r="B546" s="11" t="s">
        <v>739</v>
      </c>
      <c r="C546" s="11" t="s">
        <v>740</v>
      </c>
      <c r="D546" s="12">
        <v>12</v>
      </c>
      <c r="E546" s="13">
        <v>4.32618025751073</v>
      </c>
    </row>
    <row r="547" spans="1:5">
      <c r="A547" s="3" t="s">
        <v>753</v>
      </c>
      <c r="B547" s="11" t="s">
        <v>739</v>
      </c>
      <c r="C547" s="11" t="s">
        <v>740</v>
      </c>
      <c r="D547" s="12">
        <v>13</v>
      </c>
      <c r="E547" s="13">
        <v>4.6866952789699576</v>
      </c>
    </row>
    <row r="548" spans="1:5">
      <c r="A548" s="3" t="s">
        <v>754</v>
      </c>
      <c r="B548" s="11" t="s">
        <v>739</v>
      </c>
      <c r="C548" s="11" t="s">
        <v>740</v>
      </c>
      <c r="D548" s="12">
        <v>14</v>
      </c>
      <c r="E548" s="13">
        <v>5.0472103004291844</v>
      </c>
    </row>
    <row r="549" spans="1:5">
      <c r="A549" s="3" t="s">
        <v>755</v>
      </c>
      <c r="B549" s="11" t="s">
        <v>739</v>
      </c>
      <c r="C549" s="11" t="s">
        <v>740</v>
      </c>
      <c r="D549" s="12">
        <v>15</v>
      </c>
      <c r="E549" s="13">
        <v>5.407725321888412</v>
      </c>
    </row>
    <row r="550" spans="1:5">
      <c r="A550" s="3" t="s">
        <v>756</v>
      </c>
      <c r="B550" s="11" t="s">
        <v>739</v>
      </c>
      <c r="C550" s="11" t="s">
        <v>740</v>
      </c>
      <c r="D550" s="12">
        <v>16</v>
      </c>
      <c r="E550" s="13">
        <v>5.7682403433476397</v>
      </c>
    </row>
    <row r="551" spans="1:5">
      <c r="A551" s="3" t="s">
        <v>757</v>
      </c>
      <c r="B551" s="11" t="s">
        <v>739</v>
      </c>
      <c r="C551" s="11" t="s">
        <v>740</v>
      </c>
      <c r="D551" s="12">
        <v>17</v>
      </c>
      <c r="E551" s="13">
        <v>6.1287553648068673</v>
      </c>
    </row>
    <row r="552" spans="1:5">
      <c r="A552" s="3" t="s">
        <v>758</v>
      </c>
      <c r="B552" s="11" t="s">
        <v>739</v>
      </c>
      <c r="C552" s="11" t="s">
        <v>740</v>
      </c>
      <c r="D552" s="12">
        <v>18</v>
      </c>
      <c r="E552" s="13">
        <v>6.489270386266095</v>
      </c>
    </row>
    <row r="553" spans="1:5">
      <c r="A553" s="3" t="s">
        <v>759</v>
      </c>
      <c r="B553" s="11" t="s">
        <v>739</v>
      </c>
      <c r="C553" s="11" t="s">
        <v>740</v>
      </c>
      <c r="D553" s="12">
        <v>19</v>
      </c>
      <c r="E553" s="13">
        <v>6.8497854077253217</v>
      </c>
    </row>
    <row r="554" spans="1:5">
      <c r="A554" s="3" t="s">
        <v>760</v>
      </c>
      <c r="B554" s="11" t="s">
        <v>739</v>
      </c>
      <c r="C554" s="11" t="s">
        <v>740</v>
      </c>
      <c r="D554" s="12">
        <v>20</v>
      </c>
      <c r="E554" s="13">
        <v>7.2103004291845494</v>
      </c>
    </row>
    <row r="555" spans="1:5">
      <c r="A555" s="3" t="s">
        <v>761</v>
      </c>
      <c r="B555" s="11" t="s">
        <v>739</v>
      </c>
      <c r="C555" s="11" t="s">
        <v>740</v>
      </c>
      <c r="D555" s="12">
        <v>21</v>
      </c>
      <c r="E555" s="13">
        <v>7.570815450643777</v>
      </c>
    </row>
    <row r="556" spans="1:5">
      <c r="A556" s="3" t="s">
        <v>762</v>
      </c>
      <c r="B556" s="11" t="s">
        <v>739</v>
      </c>
      <c r="C556" s="11" t="s">
        <v>740</v>
      </c>
      <c r="D556" s="12">
        <v>22</v>
      </c>
      <c r="E556" s="13">
        <v>7.9313304721030047</v>
      </c>
    </row>
    <row r="557" spans="1:5">
      <c r="A557" s="3" t="s">
        <v>763</v>
      </c>
      <c r="B557" s="11" t="s">
        <v>739</v>
      </c>
      <c r="C557" s="11" t="s">
        <v>740</v>
      </c>
      <c r="D557" s="12">
        <v>23</v>
      </c>
      <c r="E557" s="13">
        <v>8.2918454935622314</v>
      </c>
    </row>
    <row r="558" spans="1:5">
      <c r="A558" s="3" t="s">
        <v>764</v>
      </c>
      <c r="B558" s="11" t="s">
        <v>739</v>
      </c>
      <c r="C558" s="11" t="s">
        <v>740</v>
      </c>
      <c r="D558" s="12">
        <v>24</v>
      </c>
      <c r="E558" s="13">
        <v>8.65236051502146</v>
      </c>
    </row>
    <row r="559" spans="1:5">
      <c r="A559" s="3" t="s">
        <v>765</v>
      </c>
      <c r="B559" s="11" t="s">
        <v>739</v>
      </c>
      <c r="C559" s="11" t="s">
        <v>740</v>
      </c>
      <c r="D559" s="12">
        <v>25</v>
      </c>
      <c r="E559" s="13">
        <v>9.0128755364806867</v>
      </c>
    </row>
    <row r="560" spans="1:5">
      <c r="A560" s="3" t="s">
        <v>766</v>
      </c>
      <c r="B560" s="11" t="s">
        <v>739</v>
      </c>
      <c r="C560" s="11" t="s">
        <v>740</v>
      </c>
      <c r="D560" s="12">
        <v>26</v>
      </c>
      <c r="E560" s="13">
        <v>9.3733905579399153</v>
      </c>
    </row>
    <row r="561" spans="1:5">
      <c r="A561" s="3" t="s">
        <v>767</v>
      </c>
      <c r="B561" s="11" t="s">
        <v>739</v>
      </c>
      <c r="C561" s="11" t="s">
        <v>740</v>
      </c>
      <c r="D561" s="12">
        <v>27</v>
      </c>
      <c r="E561" s="13">
        <v>9.733905579399142</v>
      </c>
    </row>
    <row r="562" spans="1:5">
      <c r="A562" s="3" t="s">
        <v>768</v>
      </c>
      <c r="B562" s="11" t="s">
        <v>739</v>
      </c>
      <c r="C562" s="11" t="s">
        <v>740</v>
      </c>
      <c r="D562" s="12">
        <v>28</v>
      </c>
      <c r="E562" s="13">
        <v>10.094420600858369</v>
      </c>
    </row>
    <row r="563" spans="1:5">
      <c r="A563" s="3" t="s">
        <v>769</v>
      </c>
      <c r="B563" s="11" t="s">
        <v>739</v>
      </c>
      <c r="C563" s="11" t="s">
        <v>740</v>
      </c>
      <c r="D563" s="12">
        <v>29</v>
      </c>
      <c r="E563" s="13">
        <v>10.454935622317597</v>
      </c>
    </row>
    <row r="564" spans="1:5">
      <c r="A564" s="3" t="s">
        <v>770</v>
      </c>
      <c r="B564" s="11" t="s">
        <v>739</v>
      </c>
      <c r="C564" s="11" t="s">
        <v>740</v>
      </c>
      <c r="D564" s="12">
        <v>30</v>
      </c>
      <c r="E564" s="13">
        <v>10.815450643776824</v>
      </c>
    </row>
    <row r="565" spans="1:5">
      <c r="A565" s="3" t="s">
        <v>771</v>
      </c>
      <c r="B565" s="11" t="s">
        <v>739</v>
      </c>
      <c r="C565" s="11" t="s">
        <v>740</v>
      </c>
      <c r="D565" s="12">
        <v>31</v>
      </c>
      <c r="E565" s="13">
        <v>11.175965665236053</v>
      </c>
    </row>
    <row r="566" spans="1:5">
      <c r="A566" s="3" t="s">
        <v>772</v>
      </c>
      <c r="B566" s="11" t="s">
        <v>739</v>
      </c>
      <c r="C566" s="11" t="s">
        <v>740</v>
      </c>
      <c r="D566" s="12">
        <v>32</v>
      </c>
      <c r="E566" s="13">
        <v>11.536480686695279</v>
      </c>
    </row>
    <row r="567" spans="1:5">
      <c r="A567" s="3" t="s">
        <v>773</v>
      </c>
      <c r="B567" s="11" t="s">
        <v>739</v>
      </c>
      <c r="C567" s="11" t="s">
        <v>740</v>
      </c>
      <c r="D567" s="12">
        <v>33</v>
      </c>
      <c r="E567" s="13">
        <v>11.896995708154506</v>
      </c>
    </row>
    <row r="568" spans="1:5">
      <c r="A568" s="3" t="s">
        <v>774</v>
      </c>
      <c r="B568" s="11" t="s">
        <v>739</v>
      </c>
      <c r="C568" s="11" t="s">
        <v>740</v>
      </c>
      <c r="D568" s="12">
        <v>34</v>
      </c>
      <c r="E568" s="13">
        <v>12.257510729613735</v>
      </c>
    </row>
    <row r="569" spans="1:5">
      <c r="A569" s="3" t="s">
        <v>775</v>
      </c>
      <c r="B569" s="11" t="s">
        <v>739</v>
      </c>
      <c r="C569" s="11" t="s">
        <v>740</v>
      </c>
      <c r="D569" s="12">
        <v>35</v>
      </c>
      <c r="E569" s="13">
        <v>12.618025751072961</v>
      </c>
    </row>
    <row r="570" spans="1:5">
      <c r="A570" s="3" t="s">
        <v>776</v>
      </c>
      <c r="B570" s="11" t="s">
        <v>739</v>
      </c>
      <c r="C570" s="11" t="s">
        <v>740</v>
      </c>
      <c r="D570" s="12">
        <v>36</v>
      </c>
      <c r="E570" s="13">
        <v>12.97854077253219</v>
      </c>
    </row>
    <row r="571" spans="1:5">
      <c r="A571" s="3" t="s">
        <v>777</v>
      </c>
      <c r="B571" s="11" t="s">
        <v>739</v>
      </c>
      <c r="C571" s="11" t="s">
        <v>740</v>
      </c>
      <c r="D571" s="12">
        <v>37</v>
      </c>
      <c r="E571" s="13">
        <v>13.339055793991417</v>
      </c>
    </row>
    <row r="572" spans="1:5">
      <c r="A572" s="3" t="s">
        <v>778</v>
      </c>
      <c r="B572" s="11" t="s">
        <v>739</v>
      </c>
      <c r="C572" s="11" t="s">
        <v>740</v>
      </c>
      <c r="D572" s="12">
        <v>38</v>
      </c>
      <c r="E572" s="13">
        <v>13.699570815450643</v>
      </c>
    </row>
    <row r="573" spans="1:5">
      <c r="A573" s="3" t="s">
        <v>779</v>
      </c>
      <c r="B573" s="11" t="s">
        <v>739</v>
      </c>
      <c r="C573" s="11" t="s">
        <v>740</v>
      </c>
      <c r="D573" s="12">
        <v>39</v>
      </c>
      <c r="E573" s="13">
        <v>14.060085836909872</v>
      </c>
    </row>
    <row r="574" spans="1:5">
      <c r="A574" s="3" t="s">
        <v>780</v>
      </c>
      <c r="B574" s="11" t="s">
        <v>739</v>
      </c>
      <c r="C574" s="11" t="s">
        <v>740</v>
      </c>
      <c r="D574" s="12">
        <v>40</v>
      </c>
      <c r="E574" s="13">
        <v>14.420600858369099</v>
      </c>
    </row>
    <row r="575" spans="1:5">
      <c r="A575" s="3" t="s">
        <v>781</v>
      </c>
      <c r="B575" s="11" t="s">
        <v>739</v>
      </c>
      <c r="C575" s="11" t="s">
        <v>782</v>
      </c>
      <c r="D575" s="12">
        <v>0</v>
      </c>
      <c r="E575" s="13">
        <v>0</v>
      </c>
    </row>
    <row r="576" spans="1:5">
      <c r="A576" s="3" t="s">
        <v>783</v>
      </c>
      <c r="B576" s="11" t="s">
        <v>739</v>
      </c>
      <c r="C576" s="11" t="s">
        <v>782</v>
      </c>
      <c r="D576" s="12">
        <v>1</v>
      </c>
      <c r="E576" s="13">
        <v>0.90128755364806856</v>
      </c>
    </row>
    <row r="577" spans="1:5">
      <c r="A577" s="3" t="s">
        <v>784</v>
      </c>
      <c r="B577" s="11" t="s">
        <v>739</v>
      </c>
      <c r="C577" s="11" t="s">
        <v>782</v>
      </c>
      <c r="D577" s="12">
        <v>2</v>
      </c>
      <c r="E577" s="13">
        <v>1.8025751072961371</v>
      </c>
    </row>
    <row r="578" spans="1:5">
      <c r="A578" s="3" t="s">
        <v>785</v>
      </c>
      <c r="B578" s="11" t="s">
        <v>739</v>
      </c>
      <c r="C578" s="11" t="s">
        <v>782</v>
      </c>
      <c r="D578" s="12">
        <v>3</v>
      </c>
      <c r="E578" s="13">
        <v>2.7038626609442056</v>
      </c>
    </row>
    <row r="579" spans="1:5">
      <c r="A579" s="3" t="s">
        <v>786</v>
      </c>
      <c r="B579" s="11" t="s">
        <v>739</v>
      </c>
      <c r="C579" s="11" t="s">
        <v>782</v>
      </c>
      <c r="D579" s="12">
        <v>4</v>
      </c>
      <c r="E579" s="13">
        <v>3.6051502145922742</v>
      </c>
    </row>
    <row r="580" spans="1:5">
      <c r="A580" s="3" t="s">
        <v>787</v>
      </c>
      <c r="B580" s="11" t="s">
        <v>739</v>
      </c>
      <c r="C580" s="11" t="s">
        <v>782</v>
      </c>
      <c r="D580" s="12">
        <v>5</v>
      </c>
      <c r="E580" s="13">
        <v>4.5064377682403425</v>
      </c>
    </row>
    <row r="581" spans="1:5">
      <c r="A581" s="3" t="s">
        <v>788</v>
      </c>
      <c r="B581" s="11" t="s">
        <v>739</v>
      </c>
      <c r="C581" s="11" t="s">
        <v>782</v>
      </c>
      <c r="D581" s="12">
        <v>6</v>
      </c>
      <c r="E581" s="13">
        <v>5.4077253218884112</v>
      </c>
    </row>
    <row r="582" spans="1:5">
      <c r="A582" s="3" t="s">
        <v>789</v>
      </c>
      <c r="B582" s="11" t="s">
        <v>739</v>
      </c>
      <c r="C582" s="11" t="s">
        <v>782</v>
      </c>
      <c r="D582" s="12">
        <v>7</v>
      </c>
      <c r="E582" s="13">
        <v>6.3090128755364798</v>
      </c>
    </row>
    <row r="583" spans="1:5">
      <c r="A583" s="3" t="s">
        <v>790</v>
      </c>
      <c r="B583" s="11" t="s">
        <v>739</v>
      </c>
      <c r="C583" s="11" t="s">
        <v>782</v>
      </c>
      <c r="D583" s="12">
        <v>8</v>
      </c>
      <c r="E583" s="13">
        <v>7.2103004291845485</v>
      </c>
    </row>
    <row r="584" spans="1:5">
      <c r="A584" s="3" t="s">
        <v>791</v>
      </c>
      <c r="B584" s="11" t="s">
        <v>739</v>
      </c>
      <c r="C584" s="11" t="s">
        <v>782</v>
      </c>
      <c r="D584" s="12">
        <v>9</v>
      </c>
      <c r="E584" s="13">
        <v>8.1115879828326172</v>
      </c>
    </row>
    <row r="585" spans="1:5">
      <c r="A585" s="3" t="s">
        <v>792</v>
      </c>
      <c r="B585" s="11" t="s">
        <v>739</v>
      </c>
      <c r="C585" s="11" t="s">
        <v>782</v>
      </c>
      <c r="D585" s="12">
        <v>10</v>
      </c>
      <c r="E585" s="13">
        <v>9.012875536480685</v>
      </c>
    </row>
    <row r="586" spans="1:5">
      <c r="A586" s="3" t="s">
        <v>793</v>
      </c>
      <c r="B586" s="11" t="s">
        <v>739</v>
      </c>
      <c r="C586" s="11" t="s">
        <v>782</v>
      </c>
      <c r="D586" s="12">
        <v>11</v>
      </c>
      <c r="E586" s="13">
        <v>9.9141630901287545</v>
      </c>
    </row>
    <row r="587" spans="1:5">
      <c r="A587" s="3" t="s">
        <v>794</v>
      </c>
      <c r="B587" s="11" t="s">
        <v>739</v>
      </c>
      <c r="C587" s="11" t="s">
        <v>782</v>
      </c>
      <c r="D587" s="12">
        <v>12</v>
      </c>
      <c r="E587" s="13">
        <v>10.815450643776822</v>
      </c>
    </row>
    <row r="588" spans="1:5">
      <c r="A588" s="3" t="s">
        <v>795</v>
      </c>
      <c r="B588" s="11" t="s">
        <v>739</v>
      </c>
      <c r="C588" s="11" t="s">
        <v>782</v>
      </c>
      <c r="D588" s="12">
        <v>13</v>
      </c>
      <c r="E588" s="13">
        <v>11.716738197424892</v>
      </c>
    </row>
    <row r="589" spans="1:5">
      <c r="A589" s="3" t="s">
        <v>796</v>
      </c>
      <c r="B589" s="11" t="s">
        <v>739</v>
      </c>
      <c r="C589" s="11" t="s">
        <v>782</v>
      </c>
      <c r="D589" s="12">
        <v>14</v>
      </c>
      <c r="E589" s="13">
        <v>12.61802575107296</v>
      </c>
    </row>
    <row r="590" spans="1:5">
      <c r="A590" s="3" t="s">
        <v>797</v>
      </c>
      <c r="B590" s="11" t="s">
        <v>739</v>
      </c>
      <c r="C590" s="11" t="s">
        <v>782</v>
      </c>
      <c r="D590" s="12">
        <v>15</v>
      </c>
      <c r="E590" s="13">
        <v>13.519313304721029</v>
      </c>
    </row>
    <row r="591" spans="1:5">
      <c r="A591" s="3" t="s">
        <v>798</v>
      </c>
      <c r="B591" s="11" t="s">
        <v>739</v>
      </c>
      <c r="C591" s="11" t="s">
        <v>782</v>
      </c>
      <c r="D591" s="12">
        <v>16</v>
      </c>
      <c r="E591" s="13">
        <v>14.420600858369097</v>
      </c>
    </row>
    <row r="592" spans="1:5">
      <c r="A592" s="3" t="s">
        <v>799</v>
      </c>
      <c r="B592" s="11" t="s">
        <v>739</v>
      </c>
      <c r="C592" s="11" t="s">
        <v>782</v>
      </c>
      <c r="D592" s="12">
        <v>17</v>
      </c>
      <c r="E592" s="13">
        <v>15.321888412017165</v>
      </c>
    </row>
    <row r="593" spans="1:5">
      <c r="A593" s="3" t="s">
        <v>800</v>
      </c>
      <c r="B593" s="11" t="s">
        <v>739</v>
      </c>
      <c r="C593" s="11" t="s">
        <v>782</v>
      </c>
      <c r="D593" s="12">
        <v>18</v>
      </c>
      <c r="E593" s="13">
        <v>16.223175965665234</v>
      </c>
    </row>
    <row r="594" spans="1:5">
      <c r="A594" s="3" t="s">
        <v>801</v>
      </c>
      <c r="B594" s="11" t="s">
        <v>739</v>
      </c>
      <c r="C594" s="11" t="s">
        <v>782</v>
      </c>
      <c r="D594" s="12">
        <v>19</v>
      </c>
      <c r="E594" s="13">
        <v>17.124463519313302</v>
      </c>
    </row>
    <row r="595" spans="1:5">
      <c r="A595" s="3" t="s">
        <v>802</v>
      </c>
      <c r="B595" s="11" t="s">
        <v>739</v>
      </c>
      <c r="C595" s="11" t="s">
        <v>782</v>
      </c>
      <c r="D595" s="12">
        <v>20</v>
      </c>
      <c r="E595" s="13">
        <v>18.02575107296137</v>
      </c>
    </row>
    <row r="596" spans="1:5">
      <c r="A596" s="3" t="s">
        <v>803</v>
      </c>
      <c r="B596" s="11" t="s">
        <v>739</v>
      </c>
      <c r="C596" s="11" t="s">
        <v>782</v>
      </c>
      <c r="D596" s="12">
        <v>21</v>
      </c>
      <c r="E596" s="13">
        <v>18.927038626609441</v>
      </c>
    </row>
    <row r="597" spans="1:5">
      <c r="A597" s="3" t="s">
        <v>804</v>
      </c>
      <c r="B597" s="11" t="s">
        <v>739</v>
      </c>
      <c r="C597" s="11" t="s">
        <v>782</v>
      </c>
      <c r="D597" s="12">
        <v>22</v>
      </c>
      <c r="E597" s="13">
        <v>19.828326180257509</v>
      </c>
    </row>
    <row r="598" spans="1:5">
      <c r="A598" s="3" t="s">
        <v>805</v>
      </c>
      <c r="B598" s="11" t="s">
        <v>739</v>
      </c>
      <c r="C598" s="11" t="s">
        <v>782</v>
      </c>
      <c r="D598" s="12">
        <v>23</v>
      </c>
      <c r="E598" s="13">
        <v>20.729613733905577</v>
      </c>
    </row>
    <row r="599" spans="1:5">
      <c r="A599" s="3" t="s">
        <v>806</v>
      </c>
      <c r="B599" s="11" t="s">
        <v>739</v>
      </c>
      <c r="C599" s="11" t="s">
        <v>782</v>
      </c>
      <c r="D599" s="12">
        <v>24</v>
      </c>
      <c r="E599" s="13">
        <v>21.630901287553645</v>
      </c>
    </row>
    <row r="600" spans="1:5">
      <c r="A600" s="3" t="s">
        <v>807</v>
      </c>
      <c r="B600" s="11" t="s">
        <v>739</v>
      </c>
      <c r="C600" s="11" t="s">
        <v>782</v>
      </c>
      <c r="D600" s="12">
        <v>25</v>
      </c>
      <c r="E600" s="13">
        <v>22.532188841201712</v>
      </c>
    </row>
    <row r="601" spans="1:5">
      <c r="A601" s="3" t="s">
        <v>808</v>
      </c>
      <c r="B601" s="11" t="s">
        <v>739</v>
      </c>
      <c r="C601" s="11" t="s">
        <v>782</v>
      </c>
      <c r="D601" s="12">
        <v>26</v>
      </c>
      <c r="E601" s="13">
        <v>23.433476394849784</v>
      </c>
    </row>
    <row r="602" spans="1:5">
      <c r="A602" s="3" t="s">
        <v>809</v>
      </c>
      <c r="B602" s="11" t="s">
        <v>739</v>
      </c>
      <c r="C602" s="11" t="s">
        <v>782</v>
      </c>
      <c r="D602" s="12">
        <v>27</v>
      </c>
      <c r="E602" s="13">
        <v>24.334763948497852</v>
      </c>
    </row>
    <row r="603" spans="1:5">
      <c r="A603" s="3" t="s">
        <v>810</v>
      </c>
      <c r="B603" s="11" t="s">
        <v>739</v>
      </c>
      <c r="C603" s="11" t="s">
        <v>782</v>
      </c>
      <c r="D603" s="12">
        <v>28</v>
      </c>
      <c r="E603" s="13">
        <v>25.236051502145919</v>
      </c>
    </row>
    <row r="604" spans="1:5">
      <c r="A604" s="3" t="s">
        <v>811</v>
      </c>
      <c r="B604" s="11" t="s">
        <v>739</v>
      </c>
      <c r="C604" s="11" t="s">
        <v>782</v>
      </c>
      <c r="D604" s="12">
        <v>29</v>
      </c>
      <c r="E604" s="13">
        <v>26.137339055793987</v>
      </c>
    </row>
    <row r="605" spans="1:5">
      <c r="A605" s="3" t="s">
        <v>812</v>
      </c>
      <c r="B605" s="11" t="s">
        <v>739</v>
      </c>
      <c r="C605" s="11" t="s">
        <v>782</v>
      </c>
      <c r="D605" s="12">
        <v>30</v>
      </c>
      <c r="E605" s="13">
        <v>27.038626609442058</v>
      </c>
    </row>
    <row r="606" spans="1:5">
      <c r="A606" s="3" t="s">
        <v>813</v>
      </c>
      <c r="B606" s="11" t="s">
        <v>739</v>
      </c>
      <c r="C606" s="11" t="s">
        <v>782</v>
      </c>
      <c r="D606" s="12">
        <v>31</v>
      </c>
      <c r="E606" s="13">
        <v>27.939914163090126</v>
      </c>
    </row>
    <row r="607" spans="1:5">
      <c r="A607" s="3" t="s">
        <v>814</v>
      </c>
      <c r="B607" s="11" t="s">
        <v>739</v>
      </c>
      <c r="C607" s="11" t="s">
        <v>782</v>
      </c>
      <c r="D607" s="12">
        <v>32</v>
      </c>
      <c r="E607" s="13">
        <v>28.841201716738194</v>
      </c>
    </row>
    <row r="608" spans="1:5">
      <c r="A608" s="3" t="s">
        <v>815</v>
      </c>
      <c r="B608" s="11" t="s">
        <v>739</v>
      </c>
      <c r="C608" s="11" t="s">
        <v>782</v>
      </c>
      <c r="D608" s="12">
        <v>33</v>
      </c>
      <c r="E608" s="13">
        <v>29.742489270386262</v>
      </c>
    </row>
    <row r="609" spans="1:5">
      <c r="A609" s="3" t="s">
        <v>816</v>
      </c>
      <c r="B609" s="11" t="s">
        <v>739</v>
      </c>
      <c r="C609" s="11" t="s">
        <v>782</v>
      </c>
      <c r="D609" s="12">
        <v>34</v>
      </c>
      <c r="E609" s="13">
        <v>30.64377682403433</v>
      </c>
    </row>
    <row r="610" spans="1:5">
      <c r="A610" s="3" t="s">
        <v>817</v>
      </c>
      <c r="B610" s="11" t="s">
        <v>739</v>
      </c>
      <c r="C610" s="11" t="s">
        <v>782</v>
      </c>
      <c r="D610" s="12">
        <v>35</v>
      </c>
      <c r="E610" s="13">
        <v>31.545064377682401</v>
      </c>
    </row>
    <row r="611" spans="1:5">
      <c r="A611" s="3" t="s">
        <v>818</v>
      </c>
      <c r="B611" s="11" t="s">
        <v>739</v>
      </c>
      <c r="C611" s="11" t="s">
        <v>782</v>
      </c>
      <c r="D611" s="12">
        <v>36</v>
      </c>
      <c r="E611" s="13">
        <v>32.446351931330469</v>
      </c>
    </row>
    <row r="612" spans="1:5">
      <c r="A612" s="3" t="s">
        <v>819</v>
      </c>
      <c r="B612" s="11" t="s">
        <v>739</v>
      </c>
      <c r="C612" s="11" t="s">
        <v>782</v>
      </c>
      <c r="D612" s="12">
        <v>37</v>
      </c>
      <c r="E612" s="13">
        <v>33.347639484978536</v>
      </c>
    </row>
    <row r="613" spans="1:5">
      <c r="A613" s="3" t="s">
        <v>820</v>
      </c>
      <c r="B613" s="11" t="s">
        <v>739</v>
      </c>
      <c r="C613" s="11" t="s">
        <v>782</v>
      </c>
      <c r="D613" s="12">
        <v>38</v>
      </c>
      <c r="E613" s="13">
        <v>34.248927038626604</v>
      </c>
    </row>
    <row r="614" spans="1:5">
      <c r="A614" s="3" t="s">
        <v>821</v>
      </c>
      <c r="B614" s="11" t="s">
        <v>739</v>
      </c>
      <c r="C614" s="11" t="s">
        <v>782</v>
      </c>
      <c r="D614" s="12">
        <v>39</v>
      </c>
      <c r="E614" s="13">
        <v>35.150214592274672</v>
      </c>
    </row>
    <row r="615" spans="1:5">
      <c r="A615" s="3" t="s">
        <v>822</v>
      </c>
      <c r="B615" s="11" t="s">
        <v>739</v>
      </c>
      <c r="C615" s="11" t="s">
        <v>782</v>
      </c>
      <c r="D615" s="12">
        <v>40</v>
      </c>
      <c r="E615" s="13">
        <v>36.05150214592274</v>
      </c>
    </row>
    <row r="616" spans="1:5">
      <c r="A616" s="3" t="s">
        <v>823</v>
      </c>
      <c r="B616" s="11" t="s">
        <v>739</v>
      </c>
      <c r="C616" s="11" t="s">
        <v>824</v>
      </c>
      <c r="D616" s="12">
        <v>0</v>
      </c>
      <c r="E616" s="13">
        <v>0</v>
      </c>
    </row>
    <row r="617" spans="1:5">
      <c r="A617" s="3" t="s">
        <v>825</v>
      </c>
      <c r="B617" s="11" t="s">
        <v>739</v>
      </c>
      <c r="C617" s="11" t="s">
        <v>824</v>
      </c>
      <c r="D617" s="12">
        <v>1</v>
      </c>
      <c r="E617" s="13">
        <v>0.33476394849785407</v>
      </c>
    </row>
    <row r="618" spans="1:5">
      <c r="A618" s="3" t="s">
        <v>826</v>
      </c>
      <c r="B618" s="11" t="s">
        <v>739</v>
      </c>
      <c r="C618" s="11" t="s">
        <v>824</v>
      </c>
      <c r="D618" s="12">
        <v>2</v>
      </c>
      <c r="E618" s="13">
        <v>0.66952789699570814</v>
      </c>
    </row>
    <row r="619" spans="1:5">
      <c r="A619" s="3" t="s">
        <v>827</v>
      </c>
      <c r="B619" s="11" t="s">
        <v>739</v>
      </c>
      <c r="C619" s="11" t="s">
        <v>824</v>
      </c>
      <c r="D619" s="12">
        <v>3</v>
      </c>
      <c r="E619" s="13">
        <v>1.0042918454935621</v>
      </c>
    </row>
    <row r="620" spans="1:5">
      <c r="A620" s="3" t="s">
        <v>828</v>
      </c>
      <c r="B620" s="11" t="s">
        <v>739</v>
      </c>
      <c r="C620" s="11" t="s">
        <v>824</v>
      </c>
      <c r="D620" s="12">
        <v>4</v>
      </c>
      <c r="E620" s="13">
        <v>1.3390557939914163</v>
      </c>
    </row>
    <row r="621" spans="1:5">
      <c r="A621" s="3" t="s">
        <v>829</v>
      </c>
      <c r="B621" s="11" t="s">
        <v>739</v>
      </c>
      <c r="C621" s="11" t="s">
        <v>824</v>
      </c>
      <c r="D621" s="12">
        <v>5</v>
      </c>
      <c r="E621" s="13">
        <v>1.6738197424892705</v>
      </c>
    </row>
    <row r="622" spans="1:5">
      <c r="A622" s="3" t="s">
        <v>830</v>
      </c>
      <c r="B622" s="11" t="s">
        <v>739</v>
      </c>
      <c r="C622" s="11" t="s">
        <v>824</v>
      </c>
      <c r="D622" s="12">
        <v>6</v>
      </c>
      <c r="E622" s="13">
        <v>2.0085836909871242</v>
      </c>
    </row>
    <row r="623" spans="1:5">
      <c r="A623" s="3" t="s">
        <v>831</v>
      </c>
      <c r="B623" s="11" t="s">
        <v>739</v>
      </c>
      <c r="C623" s="11" t="s">
        <v>824</v>
      </c>
      <c r="D623" s="12">
        <v>7</v>
      </c>
      <c r="E623" s="13">
        <v>2.3433476394849784</v>
      </c>
    </row>
    <row r="624" spans="1:5">
      <c r="A624" s="3" t="s">
        <v>832</v>
      </c>
      <c r="B624" s="11" t="s">
        <v>739</v>
      </c>
      <c r="C624" s="11" t="s">
        <v>824</v>
      </c>
      <c r="D624" s="12">
        <v>8</v>
      </c>
      <c r="E624" s="13">
        <v>2.6781115879828326</v>
      </c>
    </row>
    <row r="625" spans="1:5">
      <c r="A625" s="3" t="s">
        <v>833</v>
      </c>
      <c r="B625" s="11" t="s">
        <v>739</v>
      </c>
      <c r="C625" s="11" t="s">
        <v>824</v>
      </c>
      <c r="D625" s="12">
        <v>9</v>
      </c>
      <c r="E625" s="13">
        <v>3.0128755364806867</v>
      </c>
    </row>
    <row r="626" spans="1:5">
      <c r="A626" s="3" t="s">
        <v>834</v>
      </c>
      <c r="B626" s="11" t="s">
        <v>739</v>
      </c>
      <c r="C626" s="11" t="s">
        <v>824</v>
      </c>
      <c r="D626" s="12">
        <v>10</v>
      </c>
      <c r="E626" s="13">
        <v>3.3476394849785409</v>
      </c>
    </row>
    <row r="627" spans="1:5">
      <c r="A627" s="3" t="s">
        <v>835</v>
      </c>
      <c r="B627" s="11" t="s">
        <v>739</v>
      </c>
      <c r="C627" s="11" t="s">
        <v>824</v>
      </c>
      <c r="D627" s="12">
        <v>11</v>
      </c>
      <c r="E627" s="13">
        <v>3.6824034334763946</v>
      </c>
    </row>
    <row r="628" spans="1:5">
      <c r="A628" s="3" t="s">
        <v>836</v>
      </c>
      <c r="B628" s="11" t="s">
        <v>739</v>
      </c>
      <c r="C628" s="11" t="s">
        <v>824</v>
      </c>
      <c r="D628" s="12">
        <v>12</v>
      </c>
      <c r="E628" s="13">
        <v>4.0171673819742484</v>
      </c>
    </row>
    <row r="629" spans="1:5">
      <c r="A629" s="3" t="s">
        <v>837</v>
      </c>
      <c r="B629" s="11" t="s">
        <v>739</v>
      </c>
      <c r="C629" s="11" t="s">
        <v>824</v>
      </c>
      <c r="D629" s="12">
        <v>13</v>
      </c>
      <c r="E629" s="13">
        <v>4.3519313304721026</v>
      </c>
    </row>
    <row r="630" spans="1:5">
      <c r="A630" s="3" t="s">
        <v>838</v>
      </c>
      <c r="B630" s="11" t="s">
        <v>739</v>
      </c>
      <c r="C630" s="11" t="s">
        <v>824</v>
      </c>
      <c r="D630" s="12">
        <v>14</v>
      </c>
      <c r="E630" s="13">
        <v>4.6866952789699567</v>
      </c>
    </row>
    <row r="631" spans="1:5">
      <c r="A631" s="3" t="s">
        <v>839</v>
      </c>
      <c r="B631" s="11" t="s">
        <v>739</v>
      </c>
      <c r="C631" s="11" t="s">
        <v>824</v>
      </c>
      <c r="D631" s="12">
        <v>15</v>
      </c>
      <c r="E631" s="13">
        <v>5.0214592274678109</v>
      </c>
    </row>
    <row r="632" spans="1:5">
      <c r="A632" s="3" t="s">
        <v>840</v>
      </c>
      <c r="B632" s="11" t="s">
        <v>739</v>
      </c>
      <c r="C632" s="11" t="s">
        <v>824</v>
      </c>
      <c r="D632" s="12">
        <v>16</v>
      </c>
      <c r="E632" s="13">
        <v>5.3562231759656651</v>
      </c>
    </row>
    <row r="633" spans="1:5">
      <c r="A633" s="3" t="s">
        <v>841</v>
      </c>
      <c r="B633" s="11" t="s">
        <v>739</v>
      </c>
      <c r="C633" s="11" t="s">
        <v>824</v>
      </c>
      <c r="D633" s="12">
        <v>17</v>
      </c>
      <c r="E633" s="13">
        <v>5.6909871244635193</v>
      </c>
    </row>
    <row r="634" spans="1:5">
      <c r="A634" s="3" t="s">
        <v>842</v>
      </c>
      <c r="B634" s="11" t="s">
        <v>739</v>
      </c>
      <c r="C634" s="11" t="s">
        <v>824</v>
      </c>
      <c r="D634" s="12">
        <v>18</v>
      </c>
      <c r="E634" s="13">
        <v>6.0257510729613735</v>
      </c>
    </row>
    <row r="635" spans="1:5">
      <c r="A635" s="3" t="s">
        <v>843</v>
      </c>
      <c r="B635" s="11" t="s">
        <v>739</v>
      </c>
      <c r="C635" s="11" t="s">
        <v>824</v>
      </c>
      <c r="D635" s="12">
        <v>19</v>
      </c>
      <c r="E635" s="13">
        <v>6.3605150214592276</v>
      </c>
    </row>
    <row r="636" spans="1:5">
      <c r="A636" s="3" t="s">
        <v>844</v>
      </c>
      <c r="B636" s="11" t="s">
        <v>739</v>
      </c>
      <c r="C636" s="11" t="s">
        <v>824</v>
      </c>
      <c r="D636" s="12">
        <v>20</v>
      </c>
      <c r="E636" s="13">
        <v>6.6952789699570818</v>
      </c>
    </row>
    <row r="637" spans="1:5">
      <c r="A637" s="3" t="s">
        <v>845</v>
      </c>
      <c r="B637" s="11" t="s">
        <v>739</v>
      </c>
      <c r="C637" s="11" t="s">
        <v>824</v>
      </c>
      <c r="D637" s="12">
        <v>21</v>
      </c>
      <c r="E637" s="13">
        <v>7.0300429184549351</v>
      </c>
    </row>
    <row r="638" spans="1:5">
      <c r="A638" s="3" t="s">
        <v>846</v>
      </c>
      <c r="B638" s="11" t="s">
        <v>739</v>
      </c>
      <c r="C638" s="11" t="s">
        <v>824</v>
      </c>
      <c r="D638" s="12">
        <v>22</v>
      </c>
      <c r="E638" s="13">
        <v>7.3648068669527893</v>
      </c>
    </row>
    <row r="639" spans="1:5">
      <c r="A639" s="3" t="s">
        <v>847</v>
      </c>
      <c r="B639" s="11" t="s">
        <v>739</v>
      </c>
      <c r="C639" s="11" t="s">
        <v>824</v>
      </c>
      <c r="D639" s="12">
        <v>23</v>
      </c>
      <c r="E639" s="13">
        <v>7.6995708154506435</v>
      </c>
    </row>
    <row r="640" spans="1:5">
      <c r="A640" s="3" t="s">
        <v>848</v>
      </c>
      <c r="B640" s="11" t="s">
        <v>739</v>
      </c>
      <c r="C640" s="11" t="s">
        <v>824</v>
      </c>
      <c r="D640" s="12">
        <v>24</v>
      </c>
      <c r="E640" s="13">
        <v>8.0343347639484968</v>
      </c>
    </row>
    <row r="641" spans="1:5">
      <c r="A641" s="3" t="s">
        <v>849</v>
      </c>
      <c r="B641" s="11" t="s">
        <v>739</v>
      </c>
      <c r="C641" s="11" t="s">
        <v>824</v>
      </c>
      <c r="D641" s="12">
        <v>25</v>
      </c>
      <c r="E641" s="13">
        <v>8.3690987124463518</v>
      </c>
    </row>
    <row r="642" spans="1:5">
      <c r="A642" s="3" t="s">
        <v>850</v>
      </c>
      <c r="B642" s="11" t="s">
        <v>739</v>
      </c>
      <c r="C642" s="11" t="s">
        <v>824</v>
      </c>
      <c r="D642" s="12">
        <v>26</v>
      </c>
      <c r="E642" s="13">
        <v>8.7038626609442051</v>
      </c>
    </row>
    <row r="643" spans="1:5">
      <c r="A643" s="3" t="s">
        <v>851</v>
      </c>
      <c r="B643" s="11" t="s">
        <v>739</v>
      </c>
      <c r="C643" s="11" t="s">
        <v>824</v>
      </c>
      <c r="D643" s="12">
        <v>27</v>
      </c>
      <c r="E643" s="13">
        <v>9.0386266094420602</v>
      </c>
    </row>
    <row r="644" spans="1:5">
      <c r="A644" s="3" t="s">
        <v>852</v>
      </c>
      <c r="B644" s="11" t="s">
        <v>739</v>
      </c>
      <c r="C644" s="11" t="s">
        <v>824</v>
      </c>
      <c r="D644" s="12">
        <v>28</v>
      </c>
      <c r="E644" s="13">
        <v>9.3733905579399135</v>
      </c>
    </row>
    <row r="645" spans="1:5">
      <c r="A645" s="3" t="s">
        <v>853</v>
      </c>
      <c r="B645" s="11" t="s">
        <v>739</v>
      </c>
      <c r="C645" s="11" t="s">
        <v>824</v>
      </c>
      <c r="D645" s="12">
        <v>29</v>
      </c>
      <c r="E645" s="13">
        <v>9.7081545064377686</v>
      </c>
    </row>
    <row r="646" spans="1:5">
      <c r="A646" s="3" t="s">
        <v>854</v>
      </c>
      <c r="B646" s="11" t="s">
        <v>739</v>
      </c>
      <c r="C646" s="11" t="s">
        <v>824</v>
      </c>
      <c r="D646" s="12">
        <v>30</v>
      </c>
      <c r="E646" s="13">
        <v>10.042918454935622</v>
      </c>
    </row>
    <row r="647" spans="1:5">
      <c r="A647" s="3" t="s">
        <v>855</v>
      </c>
      <c r="B647" s="11" t="s">
        <v>739</v>
      </c>
      <c r="C647" s="11" t="s">
        <v>824</v>
      </c>
      <c r="D647" s="12">
        <v>31</v>
      </c>
      <c r="E647" s="13">
        <v>10.377682403433477</v>
      </c>
    </row>
    <row r="648" spans="1:5">
      <c r="A648" s="3" t="s">
        <v>856</v>
      </c>
      <c r="B648" s="11" t="s">
        <v>739</v>
      </c>
      <c r="C648" s="11" t="s">
        <v>824</v>
      </c>
      <c r="D648" s="12">
        <v>32</v>
      </c>
      <c r="E648" s="13">
        <v>10.71244635193133</v>
      </c>
    </row>
    <row r="649" spans="1:5">
      <c r="A649" s="3" t="s">
        <v>857</v>
      </c>
      <c r="B649" s="11" t="s">
        <v>739</v>
      </c>
      <c r="C649" s="11" t="s">
        <v>824</v>
      </c>
      <c r="D649" s="12">
        <v>33</v>
      </c>
      <c r="E649" s="13">
        <v>11.047210300429184</v>
      </c>
    </row>
    <row r="650" spans="1:5">
      <c r="A650" s="3" t="s">
        <v>858</v>
      </c>
      <c r="B650" s="11" t="s">
        <v>739</v>
      </c>
      <c r="C650" s="11" t="s">
        <v>824</v>
      </c>
      <c r="D650" s="12">
        <v>34</v>
      </c>
      <c r="E650" s="13">
        <v>11.381974248927039</v>
      </c>
    </row>
    <row r="651" spans="1:5">
      <c r="A651" s="3" t="s">
        <v>859</v>
      </c>
      <c r="B651" s="11" t="s">
        <v>739</v>
      </c>
      <c r="C651" s="11" t="s">
        <v>824</v>
      </c>
      <c r="D651" s="12">
        <v>35</v>
      </c>
      <c r="E651" s="13">
        <v>11.716738197424892</v>
      </c>
    </row>
    <row r="652" spans="1:5">
      <c r="A652" s="3" t="s">
        <v>860</v>
      </c>
      <c r="B652" s="11" t="s">
        <v>739</v>
      </c>
      <c r="C652" s="11" t="s">
        <v>824</v>
      </c>
      <c r="D652" s="12">
        <v>36</v>
      </c>
      <c r="E652" s="13">
        <v>12.051502145922747</v>
      </c>
    </row>
    <row r="653" spans="1:5">
      <c r="A653" s="3" t="s">
        <v>861</v>
      </c>
      <c r="B653" s="11" t="s">
        <v>739</v>
      </c>
      <c r="C653" s="11" t="s">
        <v>824</v>
      </c>
      <c r="D653" s="12">
        <v>37</v>
      </c>
      <c r="E653" s="13">
        <v>12.3862660944206</v>
      </c>
    </row>
    <row r="654" spans="1:5">
      <c r="A654" s="3" t="s">
        <v>862</v>
      </c>
      <c r="B654" s="11" t="s">
        <v>739</v>
      </c>
      <c r="C654" s="11" t="s">
        <v>824</v>
      </c>
      <c r="D654" s="12">
        <v>38</v>
      </c>
      <c r="E654" s="13">
        <v>12.721030042918455</v>
      </c>
    </row>
    <row r="655" spans="1:5">
      <c r="A655" s="3" t="s">
        <v>863</v>
      </c>
      <c r="B655" s="11" t="s">
        <v>739</v>
      </c>
      <c r="C655" s="11" t="s">
        <v>824</v>
      </c>
      <c r="D655" s="12">
        <v>39</v>
      </c>
      <c r="E655" s="13">
        <v>13.055793991416309</v>
      </c>
    </row>
    <row r="656" spans="1:5">
      <c r="A656" s="3" t="s">
        <v>864</v>
      </c>
      <c r="B656" s="11" t="s">
        <v>739</v>
      </c>
      <c r="C656" s="11" t="s">
        <v>824</v>
      </c>
      <c r="D656" s="12">
        <v>40</v>
      </c>
      <c r="E656" s="13">
        <v>13.390557939914164</v>
      </c>
    </row>
    <row r="657" spans="1:5">
      <c r="A657" s="3" t="s">
        <v>865</v>
      </c>
      <c r="B657" s="11" t="s">
        <v>739</v>
      </c>
      <c r="C657" s="11" t="s">
        <v>866</v>
      </c>
      <c r="D657" s="12">
        <v>0</v>
      </c>
      <c r="E657" s="13">
        <v>0</v>
      </c>
    </row>
    <row r="658" spans="1:5">
      <c r="A658" s="3" t="s">
        <v>867</v>
      </c>
      <c r="B658" s="11" t="s">
        <v>739</v>
      </c>
      <c r="C658" s="11" t="s">
        <v>866</v>
      </c>
      <c r="D658" s="12">
        <v>1</v>
      </c>
      <c r="E658" s="13">
        <v>0.10300429184549356</v>
      </c>
    </row>
    <row r="659" spans="1:5">
      <c r="A659" s="3" t="s">
        <v>868</v>
      </c>
      <c r="B659" s="11" t="s">
        <v>739</v>
      </c>
      <c r="C659" s="11" t="s">
        <v>866</v>
      </c>
      <c r="D659" s="12">
        <v>2</v>
      </c>
      <c r="E659" s="13">
        <v>0.20600858369098712</v>
      </c>
    </row>
    <row r="660" spans="1:5">
      <c r="A660" s="3" t="s">
        <v>869</v>
      </c>
      <c r="B660" s="11" t="s">
        <v>739</v>
      </c>
      <c r="C660" s="11" t="s">
        <v>866</v>
      </c>
      <c r="D660" s="12">
        <v>3</v>
      </c>
      <c r="E660" s="13">
        <v>0.30901287553648071</v>
      </c>
    </row>
    <row r="661" spans="1:5">
      <c r="A661" s="3" t="s">
        <v>870</v>
      </c>
      <c r="B661" s="11" t="s">
        <v>739</v>
      </c>
      <c r="C661" s="11" t="s">
        <v>866</v>
      </c>
      <c r="D661" s="12">
        <v>4</v>
      </c>
      <c r="E661" s="13">
        <v>0.41201716738197425</v>
      </c>
    </row>
    <row r="662" spans="1:5">
      <c r="A662" s="3" t="s">
        <v>871</v>
      </c>
      <c r="B662" s="11" t="s">
        <v>739</v>
      </c>
      <c r="C662" s="11" t="s">
        <v>866</v>
      </c>
      <c r="D662" s="12">
        <v>5</v>
      </c>
      <c r="E662" s="13">
        <v>0.51502145922746778</v>
      </c>
    </row>
    <row r="663" spans="1:5">
      <c r="A663" s="3" t="s">
        <v>872</v>
      </c>
      <c r="B663" s="11" t="s">
        <v>739</v>
      </c>
      <c r="C663" s="11" t="s">
        <v>866</v>
      </c>
      <c r="D663" s="12">
        <v>6</v>
      </c>
      <c r="E663" s="13">
        <v>0.61802575107296143</v>
      </c>
    </row>
    <row r="664" spans="1:5">
      <c r="A664" s="3" t="s">
        <v>873</v>
      </c>
      <c r="B664" s="11" t="s">
        <v>739</v>
      </c>
      <c r="C664" s="11" t="s">
        <v>866</v>
      </c>
      <c r="D664" s="12">
        <v>7</v>
      </c>
      <c r="E664" s="13">
        <v>0.72103004291845496</v>
      </c>
    </row>
    <row r="665" spans="1:5">
      <c r="A665" s="3" t="s">
        <v>874</v>
      </c>
      <c r="B665" s="11" t="s">
        <v>739</v>
      </c>
      <c r="C665" s="11" t="s">
        <v>866</v>
      </c>
      <c r="D665" s="12">
        <v>8</v>
      </c>
      <c r="E665" s="13">
        <v>0.82403433476394849</v>
      </c>
    </row>
    <row r="666" spans="1:5">
      <c r="A666" s="3" t="s">
        <v>875</v>
      </c>
      <c r="B666" s="11" t="s">
        <v>739</v>
      </c>
      <c r="C666" s="11" t="s">
        <v>866</v>
      </c>
      <c r="D666" s="12">
        <v>9</v>
      </c>
      <c r="E666" s="13">
        <v>0.92703862660944203</v>
      </c>
    </row>
    <row r="667" spans="1:5">
      <c r="A667" s="3" t="s">
        <v>876</v>
      </c>
      <c r="B667" s="11" t="s">
        <v>739</v>
      </c>
      <c r="C667" s="11" t="s">
        <v>866</v>
      </c>
      <c r="D667" s="12">
        <v>10</v>
      </c>
      <c r="E667" s="13">
        <v>1.0300429184549356</v>
      </c>
    </row>
    <row r="668" spans="1:5">
      <c r="A668" s="3" t="s">
        <v>877</v>
      </c>
      <c r="B668" s="11" t="s">
        <v>739</v>
      </c>
      <c r="C668" s="11" t="s">
        <v>866</v>
      </c>
      <c r="D668" s="12">
        <v>11</v>
      </c>
      <c r="E668" s="13">
        <v>1.1330472103004292</v>
      </c>
    </row>
    <row r="669" spans="1:5">
      <c r="A669" s="3" t="s">
        <v>878</v>
      </c>
      <c r="B669" s="11" t="s">
        <v>739</v>
      </c>
      <c r="C669" s="11" t="s">
        <v>866</v>
      </c>
      <c r="D669" s="12">
        <v>12</v>
      </c>
      <c r="E669" s="13">
        <v>1.2360515021459229</v>
      </c>
    </row>
    <row r="670" spans="1:5">
      <c r="A670" s="3" t="s">
        <v>879</v>
      </c>
      <c r="B670" s="11" t="s">
        <v>739</v>
      </c>
      <c r="C670" s="11" t="s">
        <v>866</v>
      </c>
      <c r="D670" s="12">
        <v>13</v>
      </c>
      <c r="E670" s="13">
        <v>1.3390557939914163</v>
      </c>
    </row>
    <row r="671" spans="1:5">
      <c r="A671" s="3" t="s">
        <v>880</v>
      </c>
      <c r="B671" s="11" t="s">
        <v>739</v>
      </c>
      <c r="C671" s="11" t="s">
        <v>866</v>
      </c>
      <c r="D671" s="12">
        <v>14</v>
      </c>
      <c r="E671" s="13">
        <v>1.4420600858369099</v>
      </c>
    </row>
    <row r="672" spans="1:5">
      <c r="A672" s="3" t="s">
        <v>881</v>
      </c>
      <c r="B672" s="11" t="s">
        <v>739</v>
      </c>
      <c r="C672" s="11" t="s">
        <v>866</v>
      </c>
      <c r="D672" s="12">
        <v>15</v>
      </c>
      <c r="E672" s="13">
        <v>1.5450643776824033</v>
      </c>
    </row>
    <row r="673" spans="1:5">
      <c r="A673" s="3" t="s">
        <v>882</v>
      </c>
      <c r="B673" s="11" t="s">
        <v>739</v>
      </c>
      <c r="C673" s="11" t="s">
        <v>866</v>
      </c>
      <c r="D673" s="12">
        <v>16</v>
      </c>
      <c r="E673" s="13">
        <v>1.648068669527897</v>
      </c>
    </row>
    <row r="674" spans="1:5">
      <c r="A674" s="3" t="s">
        <v>883</v>
      </c>
      <c r="B674" s="11" t="s">
        <v>739</v>
      </c>
      <c r="C674" s="11" t="s">
        <v>866</v>
      </c>
      <c r="D674" s="12">
        <v>17</v>
      </c>
      <c r="E674" s="13">
        <v>1.7510729613733906</v>
      </c>
    </row>
    <row r="675" spans="1:5">
      <c r="A675" s="3" t="s">
        <v>884</v>
      </c>
      <c r="B675" s="11" t="s">
        <v>739</v>
      </c>
      <c r="C675" s="11" t="s">
        <v>866</v>
      </c>
      <c r="D675" s="12">
        <v>18</v>
      </c>
      <c r="E675" s="13">
        <v>1.8540772532188841</v>
      </c>
    </row>
    <row r="676" spans="1:5">
      <c r="A676" s="3" t="s">
        <v>885</v>
      </c>
      <c r="B676" s="11" t="s">
        <v>739</v>
      </c>
      <c r="C676" s="11" t="s">
        <v>866</v>
      </c>
      <c r="D676" s="12">
        <v>19</v>
      </c>
      <c r="E676" s="13">
        <v>1.9570815450643777</v>
      </c>
    </row>
    <row r="677" spans="1:5">
      <c r="A677" s="3" t="s">
        <v>886</v>
      </c>
      <c r="B677" s="11" t="s">
        <v>739</v>
      </c>
      <c r="C677" s="11" t="s">
        <v>866</v>
      </c>
      <c r="D677" s="12">
        <v>20</v>
      </c>
      <c r="E677" s="13">
        <v>2.0600858369098711</v>
      </c>
    </row>
    <row r="678" spans="1:5">
      <c r="A678" s="3" t="s">
        <v>887</v>
      </c>
      <c r="B678" s="11" t="s">
        <v>739</v>
      </c>
      <c r="C678" s="11" t="s">
        <v>866</v>
      </c>
      <c r="D678" s="12">
        <v>21</v>
      </c>
      <c r="E678" s="13">
        <v>2.163090128755365</v>
      </c>
    </row>
    <row r="679" spans="1:5">
      <c r="A679" s="3" t="s">
        <v>888</v>
      </c>
      <c r="B679" s="11" t="s">
        <v>739</v>
      </c>
      <c r="C679" s="11" t="s">
        <v>866</v>
      </c>
      <c r="D679" s="12">
        <v>22</v>
      </c>
      <c r="E679" s="13">
        <v>2.2660944206008584</v>
      </c>
    </row>
    <row r="680" spans="1:5">
      <c r="A680" s="3" t="s">
        <v>889</v>
      </c>
      <c r="B680" s="11" t="s">
        <v>739</v>
      </c>
      <c r="C680" s="11" t="s">
        <v>866</v>
      </c>
      <c r="D680" s="12">
        <v>23</v>
      </c>
      <c r="E680" s="13">
        <v>2.3690987124463518</v>
      </c>
    </row>
    <row r="681" spans="1:5">
      <c r="A681" s="3" t="s">
        <v>890</v>
      </c>
      <c r="B681" s="11" t="s">
        <v>739</v>
      </c>
      <c r="C681" s="11" t="s">
        <v>866</v>
      </c>
      <c r="D681" s="12">
        <v>24</v>
      </c>
      <c r="E681" s="13">
        <v>2.4721030042918457</v>
      </c>
    </row>
    <row r="682" spans="1:5">
      <c r="A682" s="3" t="s">
        <v>891</v>
      </c>
      <c r="B682" s="11" t="s">
        <v>739</v>
      </c>
      <c r="C682" s="11" t="s">
        <v>866</v>
      </c>
      <c r="D682" s="12">
        <v>25</v>
      </c>
      <c r="E682" s="13">
        <v>2.5751072961373391</v>
      </c>
    </row>
    <row r="683" spans="1:5">
      <c r="A683" s="3" t="s">
        <v>892</v>
      </c>
      <c r="B683" s="11" t="s">
        <v>739</v>
      </c>
      <c r="C683" s="11" t="s">
        <v>866</v>
      </c>
      <c r="D683" s="12">
        <v>26</v>
      </c>
      <c r="E683" s="13">
        <v>2.6781115879828326</v>
      </c>
    </row>
    <row r="684" spans="1:5">
      <c r="A684" s="3" t="s">
        <v>893</v>
      </c>
      <c r="B684" s="11" t="s">
        <v>739</v>
      </c>
      <c r="C684" s="11" t="s">
        <v>866</v>
      </c>
      <c r="D684" s="12">
        <v>27</v>
      </c>
      <c r="E684" s="13">
        <v>2.781115879828326</v>
      </c>
    </row>
    <row r="685" spans="1:5">
      <c r="A685" s="3" t="s">
        <v>894</v>
      </c>
      <c r="B685" s="11" t="s">
        <v>739</v>
      </c>
      <c r="C685" s="11" t="s">
        <v>866</v>
      </c>
      <c r="D685" s="12">
        <v>28</v>
      </c>
      <c r="E685" s="13">
        <v>2.8841201716738198</v>
      </c>
    </row>
    <row r="686" spans="1:5">
      <c r="A686" s="3" t="s">
        <v>895</v>
      </c>
      <c r="B686" s="11" t="s">
        <v>739</v>
      </c>
      <c r="C686" s="11" t="s">
        <v>866</v>
      </c>
      <c r="D686" s="12">
        <v>29</v>
      </c>
      <c r="E686" s="13">
        <v>2.9871244635193133</v>
      </c>
    </row>
    <row r="687" spans="1:5">
      <c r="A687" s="3" t="s">
        <v>896</v>
      </c>
      <c r="B687" s="11" t="s">
        <v>739</v>
      </c>
      <c r="C687" s="11" t="s">
        <v>866</v>
      </c>
      <c r="D687" s="12">
        <v>30</v>
      </c>
      <c r="E687" s="13">
        <v>3.0901287553648067</v>
      </c>
    </row>
    <row r="688" spans="1:5">
      <c r="A688" s="3" t="s">
        <v>897</v>
      </c>
      <c r="B688" s="11" t="s">
        <v>739</v>
      </c>
      <c r="C688" s="11" t="s">
        <v>866</v>
      </c>
      <c r="D688" s="12">
        <v>31</v>
      </c>
      <c r="E688" s="13">
        <v>3.1931330472103006</v>
      </c>
    </row>
    <row r="689" spans="1:5">
      <c r="A689" s="3" t="s">
        <v>898</v>
      </c>
      <c r="B689" s="11" t="s">
        <v>739</v>
      </c>
      <c r="C689" s="11" t="s">
        <v>866</v>
      </c>
      <c r="D689" s="12">
        <v>32</v>
      </c>
      <c r="E689" s="13">
        <v>3.296137339055794</v>
      </c>
    </row>
    <row r="690" spans="1:5">
      <c r="A690" s="3" t="s">
        <v>899</v>
      </c>
      <c r="B690" s="11" t="s">
        <v>739</v>
      </c>
      <c r="C690" s="11" t="s">
        <v>866</v>
      </c>
      <c r="D690" s="12">
        <v>33</v>
      </c>
      <c r="E690" s="13">
        <v>3.3991416309012874</v>
      </c>
    </row>
    <row r="691" spans="1:5">
      <c r="A691" s="3" t="s">
        <v>900</v>
      </c>
      <c r="B691" s="11" t="s">
        <v>739</v>
      </c>
      <c r="C691" s="11" t="s">
        <v>866</v>
      </c>
      <c r="D691" s="12">
        <v>34</v>
      </c>
      <c r="E691" s="13">
        <v>3.5021459227467813</v>
      </c>
    </row>
    <row r="692" spans="1:5">
      <c r="A692" s="3" t="s">
        <v>901</v>
      </c>
      <c r="B692" s="11" t="s">
        <v>739</v>
      </c>
      <c r="C692" s="11" t="s">
        <v>866</v>
      </c>
      <c r="D692" s="12">
        <v>35</v>
      </c>
      <c r="E692" s="13">
        <v>3.6051502145922747</v>
      </c>
    </row>
    <row r="693" spans="1:5">
      <c r="A693" s="3" t="s">
        <v>902</v>
      </c>
      <c r="B693" s="11" t="s">
        <v>739</v>
      </c>
      <c r="C693" s="11" t="s">
        <v>866</v>
      </c>
      <c r="D693" s="12">
        <v>36</v>
      </c>
      <c r="E693" s="13">
        <v>3.7081545064377681</v>
      </c>
    </row>
    <row r="694" spans="1:5">
      <c r="A694" s="3" t="s">
        <v>903</v>
      </c>
      <c r="B694" s="11" t="s">
        <v>739</v>
      </c>
      <c r="C694" s="11" t="s">
        <v>866</v>
      </c>
      <c r="D694" s="12">
        <v>37</v>
      </c>
      <c r="E694" s="13">
        <v>3.811158798283262</v>
      </c>
    </row>
    <row r="695" spans="1:5">
      <c r="A695" s="3" t="s">
        <v>904</v>
      </c>
      <c r="B695" s="11" t="s">
        <v>739</v>
      </c>
      <c r="C695" s="11" t="s">
        <v>866</v>
      </c>
      <c r="D695" s="12">
        <v>38</v>
      </c>
      <c r="E695" s="13">
        <v>3.9141630901287554</v>
      </c>
    </row>
    <row r="696" spans="1:5">
      <c r="A696" s="3" t="s">
        <v>905</v>
      </c>
      <c r="B696" s="11" t="s">
        <v>739</v>
      </c>
      <c r="C696" s="11" t="s">
        <v>866</v>
      </c>
      <c r="D696" s="12">
        <v>39</v>
      </c>
      <c r="E696" s="13">
        <v>4.0171673819742493</v>
      </c>
    </row>
    <row r="697" spans="1:5">
      <c r="A697" s="3" t="s">
        <v>906</v>
      </c>
      <c r="B697" s="11" t="s">
        <v>739</v>
      </c>
      <c r="C697" s="11" t="s">
        <v>866</v>
      </c>
      <c r="D697" s="12">
        <v>40</v>
      </c>
      <c r="E697" s="13">
        <v>4.1201716738197423</v>
      </c>
    </row>
    <row r="698" spans="1:5">
      <c r="A698" s="3" t="s">
        <v>907</v>
      </c>
      <c r="B698" s="11" t="s">
        <v>739</v>
      </c>
      <c r="C698" s="11" t="s">
        <v>908</v>
      </c>
      <c r="D698" s="12">
        <v>0</v>
      </c>
      <c r="E698" s="13">
        <v>0</v>
      </c>
    </row>
    <row r="699" spans="1:5">
      <c r="A699" s="3" t="s">
        <v>909</v>
      </c>
      <c r="B699" s="11" t="s">
        <v>739</v>
      </c>
      <c r="C699" s="11" t="s">
        <v>908</v>
      </c>
      <c r="D699" s="12">
        <v>1</v>
      </c>
      <c r="E699" s="13">
        <v>5.1502145922746781E-2</v>
      </c>
    </row>
    <row r="700" spans="1:5">
      <c r="A700" s="3" t="s">
        <v>910</v>
      </c>
      <c r="B700" s="11" t="s">
        <v>739</v>
      </c>
      <c r="C700" s="11" t="s">
        <v>908</v>
      </c>
      <c r="D700" s="12">
        <v>2</v>
      </c>
      <c r="E700" s="13">
        <v>0.10300429184549356</v>
      </c>
    </row>
    <row r="701" spans="1:5">
      <c r="A701" s="3" t="s">
        <v>911</v>
      </c>
      <c r="B701" s="11" t="s">
        <v>739</v>
      </c>
      <c r="C701" s="11" t="s">
        <v>908</v>
      </c>
      <c r="D701" s="12">
        <v>3</v>
      </c>
      <c r="E701" s="13">
        <v>0.15450643776824036</v>
      </c>
    </row>
    <row r="702" spans="1:5">
      <c r="A702" s="3" t="s">
        <v>912</v>
      </c>
      <c r="B702" s="11" t="s">
        <v>739</v>
      </c>
      <c r="C702" s="11" t="s">
        <v>908</v>
      </c>
      <c r="D702" s="12">
        <v>4</v>
      </c>
      <c r="E702" s="13">
        <v>0.20600858369098712</v>
      </c>
    </row>
    <row r="703" spans="1:5">
      <c r="A703" s="3" t="s">
        <v>913</v>
      </c>
      <c r="B703" s="11" t="s">
        <v>739</v>
      </c>
      <c r="C703" s="11" t="s">
        <v>908</v>
      </c>
      <c r="D703" s="12">
        <v>5</v>
      </c>
      <c r="E703" s="13">
        <v>0.25751072961373389</v>
      </c>
    </row>
    <row r="704" spans="1:5">
      <c r="A704" s="3" t="s">
        <v>914</v>
      </c>
      <c r="B704" s="11" t="s">
        <v>739</v>
      </c>
      <c r="C704" s="11" t="s">
        <v>908</v>
      </c>
      <c r="D704" s="12">
        <v>6</v>
      </c>
      <c r="E704" s="13">
        <v>0.30901287553648071</v>
      </c>
    </row>
    <row r="705" spans="1:5">
      <c r="A705" s="3" t="s">
        <v>915</v>
      </c>
      <c r="B705" s="11" t="s">
        <v>739</v>
      </c>
      <c r="C705" s="11" t="s">
        <v>908</v>
      </c>
      <c r="D705" s="12">
        <v>7</v>
      </c>
      <c r="E705" s="13">
        <v>0.36051502145922748</v>
      </c>
    </row>
    <row r="706" spans="1:5">
      <c r="A706" s="3" t="s">
        <v>916</v>
      </c>
      <c r="B706" s="11" t="s">
        <v>739</v>
      </c>
      <c r="C706" s="11" t="s">
        <v>908</v>
      </c>
      <c r="D706" s="12">
        <v>8</v>
      </c>
      <c r="E706" s="13">
        <v>0.41201716738197425</v>
      </c>
    </row>
    <row r="707" spans="1:5">
      <c r="A707" s="3" t="s">
        <v>917</v>
      </c>
      <c r="B707" s="11" t="s">
        <v>739</v>
      </c>
      <c r="C707" s="11" t="s">
        <v>908</v>
      </c>
      <c r="D707" s="12">
        <v>9</v>
      </c>
      <c r="E707" s="13">
        <v>0.46351931330472101</v>
      </c>
    </row>
    <row r="708" spans="1:5">
      <c r="A708" s="3" t="s">
        <v>918</v>
      </c>
      <c r="B708" s="11" t="s">
        <v>739</v>
      </c>
      <c r="C708" s="11" t="s">
        <v>908</v>
      </c>
      <c r="D708" s="12">
        <v>10</v>
      </c>
      <c r="E708" s="13">
        <v>0.51502145922746778</v>
      </c>
    </row>
    <row r="709" spans="1:5">
      <c r="A709" s="3" t="s">
        <v>919</v>
      </c>
      <c r="B709" s="11" t="s">
        <v>739</v>
      </c>
      <c r="C709" s="11" t="s">
        <v>908</v>
      </c>
      <c r="D709" s="12">
        <v>11</v>
      </c>
      <c r="E709" s="13">
        <v>0.5665236051502146</v>
      </c>
    </row>
    <row r="710" spans="1:5">
      <c r="A710" s="3" t="s">
        <v>920</v>
      </c>
      <c r="B710" s="11" t="s">
        <v>739</v>
      </c>
      <c r="C710" s="11" t="s">
        <v>908</v>
      </c>
      <c r="D710" s="12">
        <v>12</v>
      </c>
      <c r="E710" s="13">
        <v>0.61802575107296143</v>
      </c>
    </row>
    <row r="711" spans="1:5">
      <c r="A711" s="3" t="s">
        <v>921</v>
      </c>
      <c r="B711" s="11" t="s">
        <v>739</v>
      </c>
      <c r="C711" s="11" t="s">
        <v>908</v>
      </c>
      <c r="D711" s="12">
        <v>13</v>
      </c>
      <c r="E711" s="13">
        <v>0.66952789699570814</v>
      </c>
    </row>
    <row r="712" spans="1:5">
      <c r="A712" s="3" t="s">
        <v>922</v>
      </c>
      <c r="B712" s="11" t="s">
        <v>739</v>
      </c>
      <c r="C712" s="11" t="s">
        <v>908</v>
      </c>
      <c r="D712" s="12">
        <v>14</v>
      </c>
      <c r="E712" s="13">
        <v>0.72103004291845496</v>
      </c>
    </row>
    <row r="713" spans="1:5">
      <c r="A713" s="3" t="s">
        <v>923</v>
      </c>
      <c r="B713" s="11" t="s">
        <v>739</v>
      </c>
      <c r="C713" s="11" t="s">
        <v>908</v>
      </c>
      <c r="D713" s="12">
        <v>15</v>
      </c>
      <c r="E713" s="13">
        <v>0.77253218884120167</v>
      </c>
    </row>
    <row r="714" spans="1:5">
      <c r="A714" s="3" t="s">
        <v>924</v>
      </c>
      <c r="B714" s="11" t="s">
        <v>739</v>
      </c>
      <c r="C714" s="11" t="s">
        <v>908</v>
      </c>
      <c r="D714" s="12">
        <v>16</v>
      </c>
      <c r="E714" s="13">
        <v>0.82403433476394849</v>
      </c>
    </row>
    <row r="715" spans="1:5">
      <c r="A715" s="3" t="s">
        <v>925</v>
      </c>
      <c r="B715" s="11" t="s">
        <v>739</v>
      </c>
      <c r="C715" s="11" t="s">
        <v>908</v>
      </c>
      <c r="D715" s="12">
        <v>17</v>
      </c>
      <c r="E715" s="13">
        <v>0.87553648068669532</v>
      </c>
    </row>
    <row r="716" spans="1:5">
      <c r="A716" s="3" t="s">
        <v>926</v>
      </c>
      <c r="B716" s="11" t="s">
        <v>739</v>
      </c>
      <c r="C716" s="11" t="s">
        <v>908</v>
      </c>
      <c r="D716" s="12">
        <v>18</v>
      </c>
      <c r="E716" s="13">
        <v>0.92703862660944203</v>
      </c>
    </row>
    <row r="717" spans="1:5">
      <c r="A717" s="3" t="s">
        <v>927</v>
      </c>
      <c r="B717" s="11" t="s">
        <v>739</v>
      </c>
      <c r="C717" s="11" t="s">
        <v>908</v>
      </c>
      <c r="D717" s="12">
        <v>19</v>
      </c>
      <c r="E717" s="13">
        <v>0.97854077253218885</v>
      </c>
    </row>
    <row r="718" spans="1:5">
      <c r="A718" s="3" t="s">
        <v>928</v>
      </c>
      <c r="B718" s="11" t="s">
        <v>739</v>
      </c>
      <c r="C718" s="11" t="s">
        <v>908</v>
      </c>
      <c r="D718" s="12">
        <v>20</v>
      </c>
      <c r="E718" s="13">
        <v>1.0300429184549356</v>
      </c>
    </row>
    <row r="719" spans="1:5">
      <c r="A719" s="3" t="s">
        <v>929</v>
      </c>
      <c r="B719" s="11" t="s">
        <v>739</v>
      </c>
      <c r="C719" s="11" t="s">
        <v>908</v>
      </c>
      <c r="D719" s="12">
        <v>21</v>
      </c>
      <c r="E719" s="13">
        <v>1.0815450643776825</v>
      </c>
    </row>
    <row r="720" spans="1:5">
      <c r="A720" s="3" t="s">
        <v>930</v>
      </c>
      <c r="B720" s="11" t="s">
        <v>739</v>
      </c>
      <c r="C720" s="11" t="s">
        <v>908</v>
      </c>
      <c r="D720" s="12">
        <v>22</v>
      </c>
      <c r="E720" s="13">
        <v>1.1330472103004292</v>
      </c>
    </row>
    <row r="721" spans="1:5">
      <c r="A721" s="3" t="s">
        <v>931</v>
      </c>
      <c r="B721" s="11" t="s">
        <v>739</v>
      </c>
      <c r="C721" s="11" t="s">
        <v>908</v>
      </c>
      <c r="D721" s="12">
        <v>23</v>
      </c>
      <c r="E721" s="13">
        <v>1.1845493562231759</v>
      </c>
    </row>
    <row r="722" spans="1:5">
      <c r="A722" s="3" t="s">
        <v>932</v>
      </c>
      <c r="B722" s="11" t="s">
        <v>739</v>
      </c>
      <c r="C722" s="11" t="s">
        <v>908</v>
      </c>
      <c r="D722" s="12">
        <v>24</v>
      </c>
      <c r="E722" s="13">
        <v>1.2360515021459229</v>
      </c>
    </row>
    <row r="723" spans="1:5">
      <c r="A723" s="3" t="s">
        <v>933</v>
      </c>
      <c r="B723" s="11" t="s">
        <v>739</v>
      </c>
      <c r="C723" s="11" t="s">
        <v>908</v>
      </c>
      <c r="D723" s="12">
        <v>25</v>
      </c>
      <c r="E723" s="13">
        <v>1.2875536480686696</v>
      </c>
    </row>
    <row r="724" spans="1:5">
      <c r="A724" s="3" t="s">
        <v>934</v>
      </c>
      <c r="B724" s="11" t="s">
        <v>739</v>
      </c>
      <c r="C724" s="11" t="s">
        <v>908</v>
      </c>
      <c r="D724" s="12">
        <v>26</v>
      </c>
      <c r="E724" s="13">
        <v>1.3390557939914163</v>
      </c>
    </row>
    <row r="725" spans="1:5">
      <c r="A725" s="3" t="s">
        <v>935</v>
      </c>
      <c r="B725" s="11" t="s">
        <v>739</v>
      </c>
      <c r="C725" s="11" t="s">
        <v>908</v>
      </c>
      <c r="D725" s="12">
        <v>27</v>
      </c>
      <c r="E725" s="13">
        <v>1.390557939914163</v>
      </c>
    </row>
    <row r="726" spans="1:5">
      <c r="A726" s="3" t="s">
        <v>936</v>
      </c>
      <c r="B726" s="11" t="s">
        <v>739</v>
      </c>
      <c r="C726" s="11" t="s">
        <v>908</v>
      </c>
      <c r="D726" s="12">
        <v>28</v>
      </c>
      <c r="E726" s="13">
        <v>1.4420600858369099</v>
      </c>
    </row>
    <row r="727" spans="1:5">
      <c r="A727" s="3" t="s">
        <v>937</v>
      </c>
      <c r="B727" s="11" t="s">
        <v>739</v>
      </c>
      <c r="C727" s="11" t="s">
        <v>908</v>
      </c>
      <c r="D727" s="12">
        <v>29</v>
      </c>
      <c r="E727" s="13">
        <v>1.4935622317596566</v>
      </c>
    </row>
    <row r="728" spans="1:5">
      <c r="A728" s="3" t="s">
        <v>938</v>
      </c>
      <c r="B728" s="11" t="s">
        <v>739</v>
      </c>
      <c r="C728" s="11" t="s">
        <v>908</v>
      </c>
      <c r="D728" s="12">
        <v>30</v>
      </c>
      <c r="E728" s="13">
        <v>1.5450643776824033</v>
      </c>
    </row>
    <row r="729" spans="1:5">
      <c r="A729" s="3" t="s">
        <v>939</v>
      </c>
      <c r="B729" s="11" t="s">
        <v>739</v>
      </c>
      <c r="C729" s="11" t="s">
        <v>908</v>
      </c>
      <c r="D729" s="12">
        <v>31</v>
      </c>
      <c r="E729" s="13">
        <v>1.5965665236051503</v>
      </c>
    </row>
    <row r="730" spans="1:5">
      <c r="A730" s="3" t="s">
        <v>940</v>
      </c>
      <c r="B730" s="11" t="s">
        <v>739</v>
      </c>
      <c r="C730" s="11" t="s">
        <v>908</v>
      </c>
      <c r="D730" s="12">
        <v>32</v>
      </c>
      <c r="E730" s="13">
        <v>1.648068669527897</v>
      </c>
    </row>
    <row r="731" spans="1:5">
      <c r="A731" s="3" t="s">
        <v>941</v>
      </c>
      <c r="B731" s="11" t="s">
        <v>739</v>
      </c>
      <c r="C731" s="11" t="s">
        <v>908</v>
      </c>
      <c r="D731" s="12">
        <v>33</v>
      </c>
      <c r="E731" s="13">
        <v>1.6995708154506437</v>
      </c>
    </row>
    <row r="732" spans="1:5">
      <c r="A732" s="3" t="s">
        <v>942</v>
      </c>
      <c r="B732" s="11" t="s">
        <v>739</v>
      </c>
      <c r="C732" s="11" t="s">
        <v>908</v>
      </c>
      <c r="D732" s="12">
        <v>34</v>
      </c>
      <c r="E732" s="13">
        <v>1.7510729613733906</v>
      </c>
    </row>
    <row r="733" spans="1:5">
      <c r="A733" s="3" t="s">
        <v>943</v>
      </c>
      <c r="B733" s="11" t="s">
        <v>739</v>
      </c>
      <c r="C733" s="11" t="s">
        <v>908</v>
      </c>
      <c r="D733" s="12">
        <v>35</v>
      </c>
      <c r="E733" s="13">
        <v>1.8025751072961373</v>
      </c>
    </row>
    <row r="734" spans="1:5">
      <c r="A734" s="3" t="s">
        <v>944</v>
      </c>
      <c r="B734" s="11" t="s">
        <v>739</v>
      </c>
      <c r="C734" s="11" t="s">
        <v>908</v>
      </c>
      <c r="D734" s="12">
        <v>36</v>
      </c>
      <c r="E734" s="13">
        <v>1.8540772532188841</v>
      </c>
    </row>
    <row r="735" spans="1:5">
      <c r="A735" s="3" t="s">
        <v>945</v>
      </c>
      <c r="B735" s="11" t="s">
        <v>739</v>
      </c>
      <c r="C735" s="11" t="s">
        <v>908</v>
      </c>
      <c r="D735" s="12">
        <v>37</v>
      </c>
      <c r="E735" s="13">
        <v>1.905579399141631</v>
      </c>
    </row>
    <row r="736" spans="1:5">
      <c r="A736" s="3" t="s">
        <v>946</v>
      </c>
      <c r="B736" s="11" t="s">
        <v>739</v>
      </c>
      <c r="C736" s="11" t="s">
        <v>908</v>
      </c>
      <c r="D736" s="12">
        <v>38</v>
      </c>
      <c r="E736" s="13">
        <v>1.9570815450643777</v>
      </c>
    </row>
    <row r="737" spans="1:5">
      <c r="A737" s="3" t="s">
        <v>947</v>
      </c>
      <c r="B737" s="11" t="s">
        <v>739</v>
      </c>
      <c r="C737" s="11" t="s">
        <v>908</v>
      </c>
      <c r="D737" s="12">
        <v>39</v>
      </c>
      <c r="E737" s="13">
        <v>2.0085836909871246</v>
      </c>
    </row>
    <row r="738" spans="1:5">
      <c r="A738" s="3" t="s">
        <v>948</v>
      </c>
      <c r="B738" s="11" t="s">
        <v>739</v>
      </c>
      <c r="C738" s="11" t="s">
        <v>908</v>
      </c>
      <c r="D738" s="12">
        <v>40</v>
      </c>
      <c r="E738" s="13">
        <v>2.0600858369098711</v>
      </c>
    </row>
    <row r="739" spans="1:5">
      <c r="A739" s="3" t="s">
        <v>949</v>
      </c>
      <c r="B739" s="11" t="s">
        <v>739</v>
      </c>
      <c r="C739" s="11" t="s">
        <v>950</v>
      </c>
      <c r="D739" s="3" t="s">
        <v>951</v>
      </c>
      <c r="E739" s="13">
        <v>0</v>
      </c>
    </row>
    <row r="740" spans="1:5">
      <c r="A740" s="3" t="s">
        <v>952</v>
      </c>
      <c r="B740" s="11" t="s">
        <v>953</v>
      </c>
      <c r="C740" s="11" t="s">
        <v>954</v>
      </c>
      <c r="D740" s="12">
        <v>0</v>
      </c>
      <c r="E740" s="13">
        <v>0</v>
      </c>
    </row>
    <row r="741" spans="1:5">
      <c r="A741" s="3" t="s">
        <v>955</v>
      </c>
      <c r="B741" s="11" t="s">
        <v>953</v>
      </c>
      <c r="C741" s="11" t="s">
        <v>954</v>
      </c>
      <c r="D741" s="12">
        <v>1</v>
      </c>
      <c r="E741" s="13">
        <v>0.36051502145922748</v>
      </c>
    </row>
    <row r="742" spans="1:5">
      <c r="A742" s="3" t="s">
        <v>956</v>
      </c>
      <c r="B742" s="11" t="s">
        <v>953</v>
      </c>
      <c r="C742" s="11" t="s">
        <v>954</v>
      </c>
      <c r="D742" s="12">
        <v>2</v>
      </c>
      <c r="E742" s="13">
        <v>0.72103004291845496</v>
      </c>
    </row>
    <row r="743" spans="1:5">
      <c r="A743" s="3" t="s">
        <v>957</v>
      </c>
      <c r="B743" s="11" t="s">
        <v>953</v>
      </c>
      <c r="C743" s="11" t="s">
        <v>954</v>
      </c>
      <c r="D743" s="12">
        <v>3</v>
      </c>
      <c r="E743" s="13">
        <v>1.0815450643776825</v>
      </c>
    </row>
    <row r="744" spans="1:5">
      <c r="A744" s="3" t="s">
        <v>958</v>
      </c>
      <c r="B744" s="11" t="s">
        <v>953</v>
      </c>
      <c r="C744" s="11" t="s">
        <v>954</v>
      </c>
      <c r="D744" s="12">
        <v>4</v>
      </c>
      <c r="E744" s="13">
        <v>1.4420600858369099</v>
      </c>
    </row>
    <row r="745" spans="1:5">
      <c r="A745" s="3" t="s">
        <v>959</v>
      </c>
      <c r="B745" s="11" t="s">
        <v>953</v>
      </c>
      <c r="C745" s="11" t="s">
        <v>954</v>
      </c>
      <c r="D745" s="12">
        <v>5</v>
      </c>
      <c r="E745" s="13">
        <v>1.8025751072961373</v>
      </c>
    </row>
    <row r="746" spans="1:5">
      <c r="A746" s="3" t="s">
        <v>960</v>
      </c>
      <c r="B746" s="11" t="s">
        <v>953</v>
      </c>
      <c r="C746" s="11" t="s">
        <v>954</v>
      </c>
      <c r="D746" s="12">
        <v>6</v>
      </c>
      <c r="E746" s="13">
        <v>2.163090128755365</v>
      </c>
    </row>
    <row r="747" spans="1:5">
      <c r="A747" s="3" t="s">
        <v>961</v>
      </c>
      <c r="B747" s="11" t="s">
        <v>953</v>
      </c>
      <c r="C747" s="11" t="s">
        <v>954</v>
      </c>
      <c r="D747" s="12">
        <v>7</v>
      </c>
      <c r="E747" s="13">
        <v>2.5236051502145922</v>
      </c>
    </row>
    <row r="748" spans="1:5">
      <c r="A748" s="3" t="s">
        <v>962</v>
      </c>
      <c r="B748" s="11" t="s">
        <v>953</v>
      </c>
      <c r="C748" s="11" t="s">
        <v>954</v>
      </c>
      <c r="D748" s="12">
        <v>8</v>
      </c>
      <c r="E748" s="13">
        <v>2.8841201716738198</v>
      </c>
    </row>
    <row r="749" spans="1:5">
      <c r="A749" s="3" t="s">
        <v>963</v>
      </c>
      <c r="B749" s="11" t="s">
        <v>953</v>
      </c>
      <c r="C749" s="11" t="s">
        <v>954</v>
      </c>
      <c r="D749" s="12">
        <v>9</v>
      </c>
      <c r="E749" s="13">
        <v>3.2446351931330475</v>
      </c>
    </row>
    <row r="750" spans="1:5">
      <c r="A750" s="3" t="s">
        <v>964</v>
      </c>
      <c r="B750" s="11" t="s">
        <v>953</v>
      </c>
      <c r="C750" s="11" t="s">
        <v>954</v>
      </c>
      <c r="D750" s="12">
        <v>10</v>
      </c>
      <c r="E750" s="13">
        <v>3.6051502145922747</v>
      </c>
    </row>
    <row r="751" spans="1:5">
      <c r="A751" s="3" t="s">
        <v>965</v>
      </c>
      <c r="B751" s="11" t="s">
        <v>953</v>
      </c>
      <c r="C751" s="11" t="s">
        <v>954</v>
      </c>
      <c r="D751" s="12">
        <v>11</v>
      </c>
      <c r="E751" s="13">
        <v>3.9656652360515023</v>
      </c>
    </row>
    <row r="752" spans="1:5">
      <c r="A752" s="3" t="s">
        <v>966</v>
      </c>
      <c r="B752" s="11" t="s">
        <v>953</v>
      </c>
      <c r="C752" s="11" t="s">
        <v>954</v>
      </c>
      <c r="D752" s="12">
        <v>12</v>
      </c>
      <c r="E752" s="13">
        <v>4.32618025751073</v>
      </c>
    </row>
    <row r="753" spans="1:5">
      <c r="A753" s="3" t="s">
        <v>967</v>
      </c>
      <c r="B753" s="11" t="s">
        <v>953</v>
      </c>
      <c r="C753" s="11" t="s">
        <v>954</v>
      </c>
      <c r="D753" s="12">
        <v>13</v>
      </c>
      <c r="E753" s="13">
        <v>4.6866952789699576</v>
      </c>
    </row>
    <row r="754" spans="1:5">
      <c r="A754" s="3" t="s">
        <v>968</v>
      </c>
      <c r="B754" s="11" t="s">
        <v>953</v>
      </c>
      <c r="C754" s="11" t="s">
        <v>954</v>
      </c>
      <c r="D754" s="12">
        <v>14</v>
      </c>
      <c r="E754" s="13">
        <v>5.0472103004291844</v>
      </c>
    </row>
    <row r="755" spans="1:5">
      <c r="A755" s="3" t="s">
        <v>969</v>
      </c>
      <c r="B755" s="11" t="s">
        <v>953</v>
      </c>
      <c r="C755" s="11" t="s">
        <v>954</v>
      </c>
      <c r="D755" s="12">
        <v>15</v>
      </c>
      <c r="E755" s="13">
        <v>5.407725321888412</v>
      </c>
    </row>
    <row r="756" spans="1:5">
      <c r="A756" s="3" t="s">
        <v>970</v>
      </c>
      <c r="B756" s="11" t="s">
        <v>953</v>
      </c>
      <c r="C756" s="11" t="s">
        <v>954</v>
      </c>
      <c r="D756" s="12">
        <v>16</v>
      </c>
      <c r="E756" s="13">
        <v>5.7682403433476397</v>
      </c>
    </row>
    <row r="757" spans="1:5">
      <c r="A757" s="3" t="s">
        <v>971</v>
      </c>
      <c r="B757" s="11" t="s">
        <v>953</v>
      </c>
      <c r="C757" s="11" t="s">
        <v>954</v>
      </c>
      <c r="D757" s="12">
        <v>17</v>
      </c>
      <c r="E757" s="13">
        <v>6.1287553648068673</v>
      </c>
    </row>
    <row r="758" spans="1:5">
      <c r="A758" s="3" t="s">
        <v>972</v>
      </c>
      <c r="B758" s="11" t="s">
        <v>953</v>
      </c>
      <c r="C758" s="11" t="s">
        <v>954</v>
      </c>
      <c r="D758" s="12">
        <v>18</v>
      </c>
      <c r="E758" s="13">
        <v>6.489270386266095</v>
      </c>
    </row>
    <row r="759" spans="1:5">
      <c r="A759" s="3" t="s">
        <v>973</v>
      </c>
      <c r="B759" s="11" t="s">
        <v>953</v>
      </c>
      <c r="C759" s="11" t="s">
        <v>954</v>
      </c>
      <c r="D759" s="12">
        <v>19</v>
      </c>
      <c r="E759" s="13">
        <v>6.8497854077253217</v>
      </c>
    </row>
    <row r="760" spans="1:5">
      <c r="A760" s="3" t="s">
        <v>974</v>
      </c>
      <c r="B760" s="11" t="s">
        <v>953</v>
      </c>
      <c r="C760" s="11" t="s">
        <v>954</v>
      </c>
      <c r="D760" s="12">
        <v>20</v>
      </c>
      <c r="E760" s="13">
        <v>7.2103004291845494</v>
      </c>
    </row>
    <row r="761" spans="1:5">
      <c r="A761" s="3" t="s">
        <v>975</v>
      </c>
      <c r="B761" s="11" t="s">
        <v>953</v>
      </c>
      <c r="C761" s="11" t="s">
        <v>954</v>
      </c>
      <c r="D761" s="12">
        <v>21</v>
      </c>
      <c r="E761" s="13">
        <v>7.570815450643777</v>
      </c>
    </row>
    <row r="762" spans="1:5">
      <c r="A762" s="3" t="s">
        <v>976</v>
      </c>
      <c r="B762" s="11" t="s">
        <v>953</v>
      </c>
      <c r="C762" s="11" t="s">
        <v>954</v>
      </c>
      <c r="D762" s="12">
        <v>22</v>
      </c>
      <c r="E762" s="13">
        <v>7.9313304721030047</v>
      </c>
    </row>
    <row r="763" spans="1:5">
      <c r="A763" s="3" t="s">
        <v>977</v>
      </c>
      <c r="B763" s="11" t="s">
        <v>953</v>
      </c>
      <c r="C763" s="11" t="s">
        <v>954</v>
      </c>
      <c r="D763" s="12">
        <v>23</v>
      </c>
      <c r="E763" s="13">
        <v>8.2918454935622314</v>
      </c>
    </row>
    <row r="764" spans="1:5">
      <c r="A764" s="3" t="s">
        <v>978</v>
      </c>
      <c r="B764" s="11" t="s">
        <v>953</v>
      </c>
      <c r="C764" s="11" t="s">
        <v>954</v>
      </c>
      <c r="D764" s="12">
        <v>24</v>
      </c>
      <c r="E764" s="13">
        <v>8.65236051502146</v>
      </c>
    </row>
    <row r="765" spans="1:5">
      <c r="A765" s="3" t="s">
        <v>979</v>
      </c>
      <c r="B765" s="11" t="s">
        <v>953</v>
      </c>
      <c r="C765" s="11" t="s">
        <v>954</v>
      </c>
      <c r="D765" s="12">
        <v>25</v>
      </c>
      <c r="E765" s="13">
        <v>9.0128755364806867</v>
      </c>
    </row>
    <row r="766" spans="1:5">
      <c r="A766" s="3" t="s">
        <v>980</v>
      </c>
      <c r="B766" s="11" t="s">
        <v>953</v>
      </c>
      <c r="C766" s="11" t="s">
        <v>954</v>
      </c>
      <c r="D766" s="12">
        <v>26</v>
      </c>
      <c r="E766" s="13">
        <v>9.3733905579399153</v>
      </c>
    </row>
    <row r="767" spans="1:5">
      <c r="A767" s="3" t="s">
        <v>981</v>
      </c>
      <c r="B767" s="11" t="s">
        <v>953</v>
      </c>
      <c r="C767" s="11" t="s">
        <v>954</v>
      </c>
      <c r="D767" s="12">
        <v>27</v>
      </c>
      <c r="E767" s="13">
        <v>9.733905579399142</v>
      </c>
    </row>
    <row r="768" spans="1:5">
      <c r="A768" s="3" t="s">
        <v>982</v>
      </c>
      <c r="B768" s="11" t="s">
        <v>953</v>
      </c>
      <c r="C768" s="11" t="s">
        <v>954</v>
      </c>
      <c r="D768" s="12">
        <v>28</v>
      </c>
      <c r="E768" s="13">
        <v>10.094420600858369</v>
      </c>
    </row>
    <row r="769" spans="1:5">
      <c r="A769" s="3" t="s">
        <v>983</v>
      </c>
      <c r="B769" s="11" t="s">
        <v>953</v>
      </c>
      <c r="C769" s="11" t="s">
        <v>954</v>
      </c>
      <c r="D769" s="12">
        <v>29</v>
      </c>
      <c r="E769" s="13">
        <v>10.454935622317597</v>
      </c>
    </row>
    <row r="770" spans="1:5">
      <c r="A770" s="3" t="s">
        <v>984</v>
      </c>
      <c r="B770" s="11" t="s">
        <v>953</v>
      </c>
      <c r="C770" s="11" t="s">
        <v>954</v>
      </c>
      <c r="D770" s="12">
        <v>30</v>
      </c>
      <c r="E770" s="13">
        <v>10.815450643776824</v>
      </c>
    </row>
    <row r="771" spans="1:5">
      <c r="A771" s="3" t="s">
        <v>985</v>
      </c>
      <c r="B771" s="11" t="s">
        <v>953</v>
      </c>
      <c r="C771" s="11" t="s">
        <v>954</v>
      </c>
      <c r="D771" s="12">
        <v>31</v>
      </c>
      <c r="E771" s="13">
        <v>11.175965665236053</v>
      </c>
    </row>
    <row r="772" spans="1:5">
      <c r="A772" s="3" t="s">
        <v>986</v>
      </c>
      <c r="B772" s="11" t="s">
        <v>953</v>
      </c>
      <c r="C772" s="11" t="s">
        <v>954</v>
      </c>
      <c r="D772" s="12">
        <v>32</v>
      </c>
      <c r="E772" s="13">
        <v>11.536480686695279</v>
      </c>
    </row>
    <row r="773" spans="1:5">
      <c r="A773" s="3" t="s">
        <v>987</v>
      </c>
      <c r="B773" s="11" t="s">
        <v>953</v>
      </c>
      <c r="C773" s="11" t="s">
        <v>954</v>
      </c>
      <c r="D773" s="12">
        <v>33</v>
      </c>
      <c r="E773" s="13">
        <v>11.896995708154506</v>
      </c>
    </row>
    <row r="774" spans="1:5">
      <c r="A774" s="3" t="s">
        <v>988</v>
      </c>
      <c r="B774" s="11" t="s">
        <v>953</v>
      </c>
      <c r="C774" s="11" t="s">
        <v>954</v>
      </c>
      <c r="D774" s="12">
        <v>34</v>
      </c>
      <c r="E774" s="13">
        <v>12.257510729613735</v>
      </c>
    </row>
    <row r="775" spans="1:5">
      <c r="A775" s="3" t="s">
        <v>989</v>
      </c>
      <c r="B775" s="11" t="s">
        <v>953</v>
      </c>
      <c r="C775" s="11" t="s">
        <v>954</v>
      </c>
      <c r="D775" s="12">
        <v>35</v>
      </c>
      <c r="E775" s="13">
        <v>12.618025751072961</v>
      </c>
    </row>
    <row r="776" spans="1:5">
      <c r="A776" s="3" t="s">
        <v>990</v>
      </c>
      <c r="B776" s="11" t="s">
        <v>953</v>
      </c>
      <c r="C776" s="11" t="s">
        <v>954</v>
      </c>
      <c r="D776" s="12">
        <v>36</v>
      </c>
      <c r="E776" s="13">
        <v>12.97854077253219</v>
      </c>
    </row>
    <row r="777" spans="1:5">
      <c r="A777" s="3" t="s">
        <v>991</v>
      </c>
      <c r="B777" s="11" t="s">
        <v>953</v>
      </c>
      <c r="C777" s="11" t="s">
        <v>954</v>
      </c>
      <c r="D777" s="12">
        <v>37</v>
      </c>
      <c r="E777" s="13">
        <v>13.339055793991417</v>
      </c>
    </row>
    <row r="778" spans="1:5">
      <c r="A778" s="3" t="s">
        <v>992</v>
      </c>
      <c r="B778" s="11" t="s">
        <v>953</v>
      </c>
      <c r="C778" s="11" t="s">
        <v>954</v>
      </c>
      <c r="D778" s="12">
        <v>38</v>
      </c>
      <c r="E778" s="13">
        <v>13.699570815450643</v>
      </c>
    </row>
    <row r="779" spans="1:5">
      <c r="A779" s="3" t="s">
        <v>993</v>
      </c>
      <c r="B779" s="11" t="s">
        <v>953</v>
      </c>
      <c r="C779" s="11" t="s">
        <v>954</v>
      </c>
      <c r="D779" s="12">
        <v>39</v>
      </c>
      <c r="E779" s="13">
        <v>14.060085836909872</v>
      </c>
    </row>
    <row r="780" spans="1:5">
      <c r="A780" s="3" t="s">
        <v>994</v>
      </c>
      <c r="B780" s="11" t="s">
        <v>953</v>
      </c>
      <c r="C780" s="11" t="s">
        <v>954</v>
      </c>
      <c r="D780" s="12">
        <v>40</v>
      </c>
      <c r="E780" s="13">
        <v>14.420600858369099</v>
      </c>
    </row>
    <row r="781" spans="1:5">
      <c r="A781" s="3" t="s">
        <v>995</v>
      </c>
      <c r="B781" s="11" t="s">
        <v>953</v>
      </c>
      <c r="C781" s="11" t="s">
        <v>954</v>
      </c>
      <c r="D781" s="12">
        <v>41</v>
      </c>
      <c r="E781" s="13">
        <v>14.781115879828327</v>
      </c>
    </row>
    <row r="782" spans="1:5">
      <c r="A782" s="3" t="s">
        <v>996</v>
      </c>
      <c r="B782" s="11" t="s">
        <v>953</v>
      </c>
      <c r="C782" s="11" t="s">
        <v>954</v>
      </c>
      <c r="D782" s="12">
        <v>42</v>
      </c>
      <c r="E782" s="13">
        <v>15.141630901287554</v>
      </c>
    </row>
    <row r="783" spans="1:5">
      <c r="A783" s="3" t="s">
        <v>997</v>
      </c>
      <c r="B783" s="11" t="s">
        <v>953</v>
      </c>
      <c r="C783" s="11" t="s">
        <v>954</v>
      </c>
      <c r="D783" s="12">
        <v>43</v>
      </c>
      <c r="E783" s="13">
        <v>15.502145922746781</v>
      </c>
    </row>
    <row r="784" spans="1:5">
      <c r="A784" s="3" t="s">
        <v>998</v>
      </c>
      <c r="B784" s="11" t="s">
        <v>953</v>
      </c>
      <c r="C784" s="11" t="s">
        <v>954</v>
      </c>
      <c r="D784" s="12">
        <v>44</v>
      </c>
      <c r="E784" s="13">
        <v>15.862660944206009</v>
      </c>
    </row>
    <row r="785" spans="1:5">
      <c r="A785" s="3" t="s">
        <v>999</v>
      </c>
      <c r="B785" s="11" t="s">
        <v>953</v>
      </c>
      <c r="C785" s="11" t="s">
        <v>954</v>
      </c>
      <c r="D785" s="12">
        <v>45</v>
      </c>
      <c r="E785" s="13">
        <v>16.223175965665238</v>
      </c>
    </row>
    <row r="786" spans="1:5">
      <c r="A786" s="3" t="s">
        <v>1000</v>
      </c>
      <c r="B786" s="11" t="s">
        <v>953</v>
      </c>
      <c r="C786" s="11" t="s">
        <v>954</v>
      </c>
      <c r="D786" s="12">
        <v>46</v>
      </c>
      <c r="E786" s="13">
        <v>16.583690987124463</v>
      </c>
    </row>
    <row r="787" spans="1:5">
      <c r="A787" s="3" t="s">
        <v>1001</v>
      </c>
      <c r="B787" s="11" t="s">
        <v>953</v>
      </c>
      <c r="C787" s="11" t="s">
        <v>954</v>
      </c>
      <c r="D787" s="12">
        <v>47</v>
      </c>
      <c r="E787" s="13">
        <v>16.944206008583691</v>
      </c>
    </row>
    <row r="788" spans="1:5">
      <c r="A788" s="3" t="s">
        <v>1002</v>
      </c>
      <c r="B788" s="11" t="s">
        <v>953</v>
      </c>
      <c r="C788" s="11" t="s">
        <v>954</v>
      </c>
      <c r="D788" s="12">
        <v>48</v>
      </c>
      <c r="E788" s="13">
        <v>17.30472103004292</v>
      </c>
    </row>
    <row r="789" spans="1:5">
      <c r="A789" s="3" t="s">
        <v>1003</v>
      </c>
      <c r="B789" s="11" t="s">
        <v>953</v>
      </c>
      <c r="C789" s="11" t="s">
        <v>954</v>
      </c>
      <c r="D789" s="12">
        <v>49</v>
      </c>
      <c r="E789" s="13">
        <v>17.665236051502145</v>
      </c>
    </row>
    <row r="790" spans="1:5">
      <c r="A790" s="3" t="s">
        <v>1004</v>
      </c>
      <c r="B790" s="11" t="s">
        <v>953</v>
      </c>
      <c r="C790" s="11" t="s">
        <v>954</v>
      </c>
      <c r="D790" s="12">
        <v>50</v>
      </c>
      <c r="E790" s="13">
        <v>18.025751072961373</v>
      </c>
    </row>
    <row r="791" spans="1:5">
      <c r="A791" s="3" t="s">
        <v>1005</v>
      </c>
      <c r="B791" s="11" t="s">
        <v>953</v>
      </c>
      <c r="C791" s="11" t="s">
        <v>954</v>
      </c>
      <c r="D791" s="12">
        <v>51</v>
      </c>
      <c r="E791" s="13">
        <v>18.386266094420602</v>
      </c>
    </row>
    <row r="792" spans="1:5">
      <c r="A792" s="3" t="s">
        <v>1006</v>
      </c>
      <c r="B792" s="11" t="s">
        <v>953</v>
      </c>
      <c r="C792" s="11" t="s">
        <v>954</v>
      </c>
      <c r="D792" s="12">
        <v>52</v>
      </c>
      <c r="E792" s="13">
        <v>18.746781115879831</v>
      </c>
    </row>
    <row r="793" spans="1:5">
      <c r="A793" s="3" t="s">
        <v>1007</v>
      </c>
      <c r="B793" s="11" t="s">
        <v>953</v>
      </c>
      <c r="C793" s="11" t="s">
        <v>954</v>
      </c>
      <c r="D793" s="12">
        <v>53</v>
      </c>
      <c r="E793" s="13">
        <v>19.107296137339056</v>
      </c>
    </row>
    <row r="794" spans="1:5">
      <c r="A794" s="3" t="s">
        <v>1008</v>
      </c>
      <c r="B794" s="11" t="s">
        <v>953</v>
      </c>
      <c r="C794" s="11" t="s">
        <v>954</v>
      </c>
      <c r="D794" s="12">
        <v>54</v>
      </c>
      <c r="E794" s="13">
        <v>19.467811158798284</v>
      </c>
    </row>
    <row r="795" spans="1:5">
      <c r="A795" s="3" t="s">
        <v>1009</v>
      </c>
      <c r="B795" s="11" t="s">
        <v>953</v>
      </c>
      <c r="C795" s="11" t="s">
        <v>954</v>
      </c>
      <c r="D795" s="12">
        <v>55</v>
      </c>
      <c r="E795" s="13">
        <v>19.828326180257513</v>
      </c>
    </row>
    <row r="796" spans="1:5">
      <c r="A796" s="3" t="s">
        <v>1010</v>
      </c>
      <c r="B796" s="11" t="s">
        <v>953</v>
      </c>
      <c r="C796" s="11" t="s">
        <v>954</v>
      </c>
      <c r="D796" s="12">
        <v>56</v>
      </c>
      <c r="E796" s="13">
        <v>20.188841201716738</v>
      </c>
    </row>
    <row r="797" spans="1:5">
      <c r="A797" s="3" t="s">
        <v>1011</v>
      </c>
      <c r="B797" s="11" t="s">
        <v>953</v>
      </c>
      <c r="C797" s="11" t="s">
        <v>954</v>
      </c>
      <c r="D797" s="12">
        <v>57</v>
      </c>
      <c r="E797" s="13">
        <v>20.549356223175966</v>
      </c>
    </row>
    <row r="798" spans="1:5">
      <c r="A798" s="3" t="s">
        <v>1012</v>
      </c>
      <c r="B798" s="11" t="s">
        <v>953</v>
      </c>
      <c r="C798" s="11" t="s">
        <v>954</v>
      </c>
      <c r="D798" s="12">
        <v>58</v>
      </c>
      <c r="E798" s="13">
        <v>20.909871244635195</v>
      </c>
    </row>
    <row r="799" spans="1:5">
      <c r="A799" s="3" t="s">
        <v>1013</v>
      </c>
      <c r="B799" s="11" t="s">
        <v>953</v>
      </c>
      <c r="C799" s="11" t="s">
        <v>954</v>
      </c>
      <c r="D799" s="12">
        <v>59</v>
      </c>
      <c r="E799" s="13">
        <v>21.27038626609442</v>
      </c>
    </row>
    <row r="800" spans="1:5">
      <c r="A800" s="3" t="s">
        <v>1014</v>
      </c>
      <c r="B800" s="11" t="s">
        <v>953</v>
      </c>
      <c r="C800" s="11" t="s">
        <v>954</v>
      </c>
      <c r="D800" s="12">
        <v>60</v>
      </c>
      <c r="E800" s="13">
        <v>21.630901287553648</v>
      </c>
    </row>
    <row r="801" spans="1:5">
      <c r="A801" s="43" t="s">
        <v>1015</v>
      </c>
      <c r="B801" s="44" t="s">
        <v>953</v>
      </c>
      <c r="C801" s="44" t="s">
        <v>1016</v>
      </c>
      <c r="D801" s="45">
        <v>0</v>
      </c>
      <c r="E801" s="46">
        <v>0</v>
      </c>
    </row>
    <row r="802" spans="1:5">
      <c r="A802" s="43" t="s">
        <v>1017</v>
      </c>
      <c r="B802" s="44" t="s">
        <v>953</v>
      </c>
      <c r="C802" s="44" t="s">
        <v>1016</v>
      </c>
      <c r="D802" s="45">
        <v>1</v>
      </c>
      <c r="E802" s="46">
        <v>0.38626609442060089</v>
      </c>
    </row>
    <row r="803" spans="1:5">
      <c r="A803" s="43" t="s">
        <v>1018</v>
      </c>
      <c r="B803" s="44" t="s">
        <v>953</v>
      </c>
      <c r="C803" s="44" t="s">
        <v>1016</v>
      </c>
      <c r="D803" s="45">
        <v>2</v>
      </c>
      <c r="E803" s="46">
        <v>0.77253218884120178</v>
      </c>
    </row>
    <row r="804" spans="1:5">
      <c r="A804" s="43" t="s">
        <v>1019</v>
      </c>
      <c r="B804" s="44" t="s">
        <v>953</v>
      </c>
      <c r="C804" s="44" t="s">
        <v>1016</v>
      </c>
      <c r="D804" s="45">
        <v>3</v>
      </c>
      <c r="E804" s="46">
        <v>1.1587982832618027</v>
      </c>
    </row>
    <row r="805" spans="1:5">
      <c r="A805" s="43" t="s">
        <v>1020</v>
      </c>
      <c r="B805" s="44" t="s">
        <v>953</v>
      </c>
      <c r="C805" s="44" t="s">
        <v>1016</v>
      </c>
      <c r="D805" s="45">
        <v>4</v>
      </c>
      <c r="E805" s="46">
        <v>1.5450643776824036</v>
      </c>
    </row>
    <row r="806" spans="1:5">
      <c r="A806" s="43" t="s">
        <v>1021</v>
      </c>
      <c r="B806" s="44" t="s">
        <v>953</v>
      </c>
      <c r="C806" s="44" t="s">
        <v>1016</v>
      </c>
      <c r="D806" s="45">
        <v>5</v>
      </c>
      <c r="E806" s="46">
        <v>1.9313304721030045</v>
      </c>
    </row>
    <row r="807" spans="1:5">
      <c r="A807" s="43" t="s">
        <v>1022</v>
      </c>
      <c r="B807" s="44" t="s">
        <v>953</v>
      </c>
      <c r="C807" s="44" t="s">
        <v>1016</v>
      </c>
      <c r="D807" s="45">
        <v>6</v>
      </c>
      <c r="E807" s="46">
        <v>2.3175965665236054</v>
      </c>
    </row>
    <row r="808" spans="1:5">
      <c r="A808" s="43" t="s">
        <v>1023</v>
      </c>
      <c r="B808" s="44" t="s">
        <v>953</v>
      </c>
      <c r="C808" s="44" t="s">
        <v>1016</v>
      </c>
      <c r="D808" s="45">
        <v>7</v>
      </c>
      <c r="E808" s="46">
        <v>2.703862660944206</v>
      </c>
    </row>
    <row r="809" spans="1:5">
      <c r="A809" s="43" t="s">
        <v>1024</v>
      </c>
      <c r="B809" s="44" t="s">
        <v>953</v>
      </c>
      <c r="C809" s="44" t="s">
        <v>1016</v>
      </c>
      <c r="D809" s="45">
        <v>8</v>
      </c>
      <c r="E809" s="46">
        <v>3.0901287553648071</v>
      </c>
    </row>
    <row r="810" spans="1:5">
      <c r="A810" s="43" t="s">
        <v>1025</v>
      </c>
      <c r="B810" s="44" t="s">
        <v>953</v>
      </c>
      <c r="C810" s="44" t="s">
        <v>1016</v>
      </c>
      <c r="D810" s="45">
        <v>9</v>
      </c>
      <c r="E810" s="46">
        <v>3.4763948497854082</v>
      </c>
    </row>
    <row r="811" spans="1:5">
      <c r="A811" s="43" t="s">
        <v>1026</v>
      </c>
      <c r="B811" s="44" t="s">
        <v>953</v>
      </c>
      <c r="C811" s="44" t="s">
        <v>1016</v>
      </c>
      <c r="D811" s="45">
        <v>10</v>
      </c>
      <c r="E811" s="46">
        <v>3.8626609442060089</v>
      </c>
    </row>
    <row r="812" spans="1:5">
      <c r="A812" s="43" t="s">
        <v>1027</v>
      </c>
      <c r="B812" s="44" t="s">
        <v>953</v>
      </c>
      <c r="C812" s="44" t="s">
        <v>1016</v>
      </c>
      <c r="D812" s="45">
        <v>11</v>
      </c>
      <c r="E812" s="46">
        <v>4.2489270386266096</v>
      </c>
    </row>
    <row r="813" spans="1:5">
      <c r="A813" s="43" t="s">
        <v>1028</v>
      </c>
      <c r="B813" s="44" t="s">
        <v>953</v>
      </c>
      <c r="C813" s="44" t="s">
        <v>1016</v>
      </c>
      <c r="D813" s="45">
        <v>12</v>
      </c>
      <c r="E813" s="46">
        <v>4.6351931330472107</v>
      </c>
    </row>
    <row r="814" spans="1:5">
      <c r="A814" s="43" t="s">
        <v>1029</v>
      </c>
      <c r="B814" s="44" t="s">
        <v>953</v>
      </c>
      <c r="C814" s="44" t="s">
        <v>1016</v>
      </c>
      <c r="D814" s="45">
        <v>13</v>
      </c>
      <c r="E814" s="46">
        <v>5.0214592274678118</v>
      </c>
    </row>
    <row r="815" spans="1:5">
      <c r="A815" s="43" t="s">
        <v>1030</v>
      </c>
      <c r="B815" s="44" t="s">
        <v>953</v>
      </c>
      <c r="C815" s="44" t="s">
        <v>1016</v>
      </c>
      <c r="D815" s="45">
        <v>14</v>
      </c>
      <c r="E815" s="46">
        <v>5.407725321888412</v>
      </c>
    </row>
    <row r="816" spans="1:5">
      <c r="A816" s="43" t="s">
        <v>1031</v>
      </c>
      <c r="B816" s="44" t="s">
        <v>953</v>
      </c>
      <c r="C816" s="44" t="s">
        <v>1016</v>
      </c>
      <c r="D816" s="45">
        <v>15</v>
      </c>
      <c r="E816" s="46">
        <v>5.7939914163090132</v>
      </c>
    </row>
    <row r="817" spans="1:5">
      <c r="A817" s="43" t="s">
        <v>1032</v>
      </c>
      <c r="B817" s="44" t="s">
        <v>953</v>
      </c>
      <c r="C817" s="44" t="s">
        <v>1016</v>
      </c>
      <c r="D817" s="45">
        <v>16</v>
      </c>
      <c r="E817" s="46">
        <v>6.1802575107296143</v>
      </c>
    </row>
    <row r="818" spans="1:5">
      <c r="A818" s="43" t="s">
        <v>1033</v>
      </c>
      <c r="B818" s="44" t="s">
        <v>953</v>
      </c>
      <c r="C818" s="44" t="s">
        <v>1016</v>
      </c>
      <c r="D818" s="45">
        <v>17</v>
      </c>
      <c r="E818" s="46">
        <v>6.5665236051502154</v>
      </c>
    </row>
    <row r="819" spans="1:5">
      <c r="A819" s="43" t="s">
        <v>1034</v>
      </c>
      <c r="B819" s="44" t="s">
        <v>953</v>
      </c>
      <c r="C819" s="44" t="s">
        <v>1016</v>
      </c>
      <c r="D819" s="45">
        <v>18</v>
      </c>
      <c r="E819" s="46">
        <v>6.9527896995708165</v>
      </c>
    </row>
    <row r="820" spans="1:5">
      <c r="A820" s="43" t="s">
        <v>1035</v>
      </c>
      <c r="B820" s="44" t="s">
        <v>953</v>
      </c>
      <c r="C820" s="44" t="s">
        <v>1016</v>
      </c>
      <c r="D820" s="45">
        <v>19</v>
      </c>
      <c r="E820" s="46">
        <v>7.3390557939914167</v>
      </c>
    </row>
    <row r="821" spans="1:5">
      <c r="A821" s="43" t="s">
        <v>1036</v>
      </c>
      <c r="B821" s="44" t="s">
        <v>953</v>
      </c>
      <c r="C821" s="44" t="s">
        <v>1016</v>
      </c>
      <c r="D821" s="45">
        <v>20</v>
      </c>
      <c r="E821" s="46">
        <v>7.7253218884120178</v>
      </c>
    </row>
    <row r="822" spans="1:5">
      <c r="A822" s="43" t="s">
        <v>1037</v>
      </c>
      <c r="B822" s="44" t="s">
        <v>953</v>
      </c>
      <c r="C822" s="44" t="s">
        <v>1016</v>
      </c>
      <c r="D822" s="45">
        <v>21</v>
      </c>
      <c r="E822" s="46">
        <v>8.1115879828326189</v>
      </c>
    </row>
    <row r="823" spans="1:5">
      <c r="A823" s="43" t="s">
        <v>1038</v>
      </c>
      <c r="B823" s="44" t="s">
        <v>953</v>
      </c>
      <c r="C823" s="44" t="s">
        <v>1016</v>
      </c>
      <c r="D823" s="45">
        <v>22</v>
      </c>
      <c r="E823" s="46">
        <v>8.4978540772532192</v>
      </c>
    </row>
    <row r="824" spans="1:5">
      <c r="A824" s="43" t="s">
        <v>1039</v>
      </c>
      <c r="B824" s="44" t="s">
        <v>953</v>
      </c>
      <c r="C824" s="44" t="s">
        <v>1016</v>
      </c>
      <c r="D824" s="45">
        <v>23</v>
      </c>
      <c r="E824" s="46">
        <v>8.8841201716738212</v>
      </c>
    </row>
    <row r="825" spans="1:5">
      <c r="A825" s="43" t="s">
        <v>1040</v>
      </c>
      <c r="B825" s="44" t="s">
        <v>953</v>
      </c>
      <c r="C825" s="44" t="s">
        <v>1016</v>
      </c>
      <c r="D825" s="45">
        <v>24</v>
      </c>
      <c r="E825" s="46">
        <v>9.2703862660944214</v>
      </c>
    </row>
    <row r="826" spans="1:5">
      <c r="A826" s="43" t="s">
        <v>1041</v>
      </c>
      <c r="B826" s="44" t="s">
        <v>953</v>
      </c>
      <c r="C826" s="44" t="s">
        <v>1016</v>
      </c>
      <c r="D826" s="45">
        <v>25</v>
      </c>
      <c r="E826" s="46">
        <v>9.6566523605150216</v>
      </c>
    </row>
    <row r="827" spans="1:5">
      <c r="A827" s="43" t="s">
        <v>1042</v>
      </c>
      <c r="B827" s="44" t="s">
        <v>953</v>
      </c>
      <c r="C827" s="44" t="s">
        <v>1016</v>
      </c>
      <c r="D827" s="45">
        <v>26</v>
      </c>
      <c r="E827" s="46">
        <v>10.042918454935624</v>
      </c>
    </row>
    <row r="828" spans="1:5">
      <c r="A828" s="43" t="s">
        <v>1043</v>
      </c>
      <c r="B828" s="44" t="s">
        <v>953</v>
      </c>
      <c r="C828" s="44" t="s">
        <v>1016</v>
      </c>
      <c r="D828" s="45">
        <v>27</v>
      </c>
      <c r="E828" s="46">
        <v>10.429184549356224</v>
      </c>
    </row>
    <row r="829" spans="1:5">
      <c r="A829" s="43" t="s">
        <v>1044</v>
      </c>
      <c r="B829" s="44" t="s">
        <v>953</v>
      </c>
      <c r="C829" s="44" t="s">
        <v>1016</v>
      </c>
      <c r="D829" s="45">
        <v>28</v>
      </c>
      <c r="E829" s="46">
        <v>10.815450643776824</v>
      </c>
    </row>
    <row r="830" spans="1:5">
      <c r="A830" s="43" t="s">
        <v>1045</v>
      </c>
      <c r="B830" s="44" t="s">
        <v>953</v>
      </c>
      <c r="C830" s="44" t="s">
        <v>1016</v>
      </c>
      <c r="D830" s="45">
        <v>29</v>
      </c>
      <c r="E830" s="46">
        <v>11.201716738197426</v>
      </c>
    </row>
    <row r="831" spans="1:5">
      <c r="A831" s="43" t="s">
        <v>1046</v>
      </c>
      <c r="B831" s="44" t="s">
        <v>953</v>
      </c>
      <c r="C831" s="44" t="s">
        <v>1016</v>
      </c>
      <c r="D831" s="45">
        <v>30</v>
      </c>
      <c r="E831" s="46">
        <v>11.587982832618026</v>
      </c>
    </row>
    <row r="832" spans="1:5">
      <c r="A832" s="43" t="s">
        <v>1047</v>
      </c>
      <c r="B832" s="44" t="s">
        <v>953</v>
      </c>
      <c r="C832" s="44" t="s">
        <v>1016</v>
      </c>
      <c r="D832" s="45">
        <v>31</v>
      </c>
      <c r="E832" s="46">
        <v>11.974248927038628</v>
      </c>
    </row>
    <row r="833" spans="1:5">
      <c r="A833" s="43" t="s">
        <v>1048</v>
      </c>
      <c r="B833" s="44" t="s">
        <v>953</v>
      </c>
      <c r="C833" s="44" t="s">
        <v>1016</v>
      </c>
      <c r="D833" s="45">
        <v>32</v>
      </c>
      <c r="E833" s="46">
        <v>12.360515021459229</v>
      </c>
    </row>
    <row r="834" spans="1:5">
      <c r="A834" s="43" t="s">
        <v>1049</v>
      </c>
      <c r="B834" s="44" t="s">
        <v>953</v>
      </c>
      <c r="C834" s="44" t="s">
        <v>1016</v>
      </c>
      <c r="D834" s="45">
        <v>33</v>
      </c>
      <c r="E834" s="46">
        <v>12.746781115879829</v>
      </c>
    </row>
    <row r="835" spans="1:5">
      <c r="A835" s="43" t="s">
        <v>1050</v>
      </c>
      <c r="B835" s="44" t="s">
        <v>953</v>
      </c>
      <c r="C835" s="44" t="s">
        <v>1016</v>
      </c>
      <c r="D835" s="45">
        <v>34</v>
      </c>
      <c r="E835" s="46">
        <v>13.133047210300431</v>
      </c>
    </row>
    <row r="836" spans="1:5">
      <c r="A836" s="43" t="s">
        <v>1051</v>
      </c>
      <c r="B836" s="44" t="s">
        <v>953</v>
      </c>
      <c r="C836" s="44" t="s">
        <v>1016</v>
      </c>
      <c r="D836" s="45">
        <v>35</v>
      </c>
      <c r="E836" s="46">
        <v>13.519313304721031</v>
      </c>
    </row>
    <row r="837" spans="1:5">
      <c r="A837" s="43" t="s">
        <v>1052</v>
      </c>
      <c r="B837" s="44" t="s">
        <v>953</v>
      </c>
      <c r="C837" s="44" t="s">
        <v>1016</v>
      </c>
      <c r="D837" s="45">
        <v>36</v>
      </c>
      <c r="E837" s="46">
        <v>13.905579399141633</v>
      </c>
    </row>
    <row r="838" spans="1:5">
      <c r="A838" s="43" t="s">
        <v>1053</v>
      </c>
      <c r="B838" s="44" t="s">
        <v>953</v>
      </c>
      <c r="C838" s="44" t="s">
        <v>1016</v>
      </c>
      <c r="D838" s="45">
        <v>37</v>
      </c>
      <c r="E838" s="46">
        <v>14.291845493562233</v>
      </c>
    </row>
    <row r="839" spans="1:5">
      <c r="A839" s="43" t="s">
        <v>1054</v>
      </c>
      <c r="B839" s="44" t="s">
        <v>953</v>
      </c>
      <c r="C839" s="44" t="s">
        <v>1016</v>
      </c>
      <c r="D839" s="45">
        <v>38</v>
      </c>
      <c r="E839" s="46">
        <v>14.678111587982833</v>
      </c>
    </row>
    <row r="840" spans="1:5">
      <c r="A840" s="43" t="s">
        <v>1055</v>
      </c>
      <c r="B840" s="44" t="s">
        <v>953</v>
      </c>
      <c r="C840" s="44" t="s">
        <v>1016</v>
      </c>
      <c r="D840" s="45">
        <v>39</v>
      </c>
      <c r="E840" s="46">
        <v>15.064377682403435</v>
      </c>
    </row>
    <row r="841" spans="1:5">
      <c r="A841" s="43" t="s">
        <v>1056</v>
      </c>
      <c r="B841" s="44" t="s">
        <v>953</v>
      </c>
      <c r="C841" s="44" t="s">
        <v>1016</v>
      </c>
      <c r="D841" s="45">
        <v>40</v>
      </c>
      <c r="E841" s="46">
        <v>15.450643776824036</v>
      </c>
    </row>
    <row r="842" spans="1:5">
      <c r="A842" s="43" t="s">
        <v>1057</v>
      </c>
      <c r="B842" s="44" t="s">
        <v>953</v>
      </c>
      <c r="C842" s="44" t="s">
        <v>1016</v>
      </c>
      <c r="D842" s="45">
        <v>41</v>
      </c>
      <c r="E842" s="46">
        <v>15.836909871244636</v>
      </c>
    </row>
    <row r="843" spans="1:5">
      <c r="A843" s="43" t="s">
        <v>1058</v>
      </c>
      <c r="B843" s="44" t="s">
        <v>953</v>
      </c>
      <c r="C843" s="44" t="s">
        <v>1016</v>
      </c>
      <c r="D843" s="45">
        <v>42</v>
      </c>
      <c r="E843" s="46">
        <v>16.223175965665238</v>
      </c>
    </row>
    <row r="844" spans="1:5">
      <c r="A844" s="43" t="s">
        <v>1059</v>
      </c>
      <c r="B844" s="44" t="s">
        <v>953</v>
      </c>
      <c r="C844" s="44" t="s">
        <v>1016</v>
      </c>
      <c r="D844" s="45">
        <v>43</v>
      </c>
      <c r="E844" s="46">
        <v>16.60944206008584</v>
      </c>
    </row>
    <row r="845" spans="1:5">
      <c r="A845" s="43" t="s">
        <v>1060</v>
      </c>
      <c r="B845" s="44" t="s">
        <v>953</v>
      </c>
      <c r="C845" s="44" t="s">
        <v>1016</v>
      </c>
      <c r="D845" s="45">
        <v>44</v>
      </c>
      <c r="E845" s="46">
        <v>16.995708154506438</v>
      </c>
    </row>
    <row r="846" spans="1:5">
      <c r="A846" s="43" t="s">
        <v>1061</v>
      </c>
      <c r="B846" s="44" t="s">
        <v>953</v>
      </c>
      <c r="C846" s="44" t="s">
        <v>1016</v>
      </c>
      <c r="D846" s="45">
        <v>45</v>
      </c>
      <c r="E846" s="46">
        <v>17.38197424892704</v>
      </c>
    </row>
    <row r="847" spans="1:5">
      <c r="A847" s="43" t="s">
        <v>1062</v>
      </c>
      <c r="B847" s="44" t="s">
        <v>953</v>
      </c>
      <c r="C847" s="44" t="s">
        <v>1016</v>
      </c>
      <c r="D847" s="45">
        <v>46</v>
      </c>
      <c r="E847" s="46">
        <v>17.768240343347642</v>
      </c>
    </row>
    <row r="848" spans="1:5">
      <c r="A848" s="43" t="s">
        <v>1063</v>
      </c>
      <c r="B848" s="44" t="s">
        <v>953</v>
      </c>
      <c r="C848" s="44" t="s">
        <v>1016</v>
      </c>
      <c r="D848" s="45">
        <v>47</v>
      </c>
      <c r="E848" s="46">
        <v>18.154506437768241</v>
      </c>
    </row>
    <row r="849" spans="1:5">
      <c r="A849" s="43" t="s">
        <v>1064</v>
      </c>
      <c r="B849" s="44" t="s">
        <v>953</v>
      </c>
      <c r="C849" s="44" t="s">
        <v>1016</v>
      </c>
      <c r="D849" s="45">
        <v>48</v>
      </c>
      <c r="E849" s="46">
        <v>18.540772532188843</v>
      </c>
    </row>
    <row r="850" spans="1:5">
      <c r="A850" s="43" t="s">
        <v>1065</v>
      </c>
      <c r="B850" s="44" t="s">
        <v>953</v>
      </c>
      <c r="C850" s="44" t="s">
        <v>1016</v>
      </c>
      <c r="D850" s="45">
        <v>49</v>
      </c>
      <c r="E850" s="46">
        <v>18.927038626609445</v>
      </c>
    </row>
    <row r="851" spans="1:5">
      <c r="A851" s="43" t="s">
        <v>1066</v>
      </c>
      <c r="B851" s="44" t="s">
        <v>953</v>
      </c>
      <c r="C851" s="44" t="s">
        <v>1016</v>
      </c>
      <c r="D851" s="45">
        <v>50</v>
      </c>
      <c r="E851" s="46">
        <v>19.313304721030043</v>
      </c>
    </row>
    <row r="852" spans="1:5">
      <c r="A852" s="43" t="s">
        <v>1067</v>
      </c>
      <c r="B852" s="44" t="s">
        <v>953</v>
      </c>
      <c r="C852" s="44" t="s">
        <v>1016</v>
      </c>
      <c r="D852" s="45">
        <v>51</v>
      </c>
      <c r="E852" s="46">
        <v>19.699570815450645</v>
      </c>
    </row>
    <row r="853" spans="1:5">
      <c r="A853" s="43" t="s">
        <v>1068</v>
      </c>
      <c r="B853" s="44" t="s">
        <v>953</v>
      </c>
      <c r="C853" s="44" t="s">
        <v>1016</v>
      </c>
      <c r="D853" s="45">
        <v>52</v>
      </c>
      <c r="E853" s="46">
        <v>20.085836909871247</v>
      </c>
    </row>
    <row r="854" spans="1:5">
      <c r="A854" s="43" t="s">
        <v>1069</v>
      </c>
      <c r="B854" s="44" t="s">
        <v>953</v>
      </c>
      <c r="C854" s="44" t="s">
        <v>1016</v>
      </c>
      <c r="D854" s="45">
        <v>53</v>
      </c>
      <c r="E854" s="46">
        <v>20.472103004291846</v>
      </c>
    </row>
    <row r="855" spans="1:5">
      <c r="A855" s="43" t="s">
        <v>1070</v>
      </c>
      <c r="B855" s="44" t="s">
        <v>953</v>
      </c>
      <c r="C855" s="44" t="s">
        <v>1016</v>
      </c>
      <c r="D855" s="45">
        <v>54</v>
      </c>
      <c r="E855" s="46">
        <v>20.858369098712448</v>
      </c>
    </row>
    <row r="856" spans="1:5">
      <c r="A856" s="43" t="s">
        <v>1071</v>
      </c>
      <c r="B856" s="44" t="s">
        <v>953</v>
      </c>
      <c r="C856" s="44" t="s">
        <v>1016</v>
      </c>
      <c r="D856" s="45">
        <v>55</v>
      </c>
      <c r="E856" s="46">
        <v>21.24463519313305</v>
      </c>
    </row>
    <row r="857" spans="1:5">
      <c r="A857" s="43" t="s">
        <v>1072</v>
      </c>
      <c r="B857" s="44" t="s">
        <v>953</v>
      </c>
      <c r="C857" s="44" t="s">
        <v>1016</v>
      </c>
      <c r="D857" s="45">
        <v>56</v>
      </c>
      <c r="E857" s="46">
        <v>21.630901287553648</v>
      </c>
    </row>
    <row r="858" spans="1:5">
      <c r="A858" s="43" t="s">
        <v>1073</v>
      </c>
      <c r="B858" s="44" t="s">
        <v>953</v>
      </c>
      <c r="C858" s="44" t="s">
        <v>1016</v>
      </c>
      <c r="D858" s="45">
        <v>57</v>
      </c>
      <c r="E858" s="46">
        <v>22.01716738197425</v>
      </c>
    </row>
    <row r="859" spans="1:5">
      <c r="A859" s="43" t="s">
        <v>1074</v>
      </c>
      <c r="B859" s="44" t="s">
        <v>953</v>
      </c>
      <c r="C859" s="44" t="s">
        <v>1016</v>
      </c>
      <c r="D859" s="45">
        <v>58</v>
      </c>
      <c r="E859" s="46">
        <v>22.403433476394852</v>
      </c>
    </row>
    <row r="860" spans="1:5">
      <c r="A860" s="43" t="s">
        <v>1075</v>
      </c>
      <c r="B860" s="44" t="s">
        <v>953</v>
      </c>
      <c r="C860" s="44" t="s">
        <v>1016</v>
      </c>
      <c r="D860" s="45">
        <v>59</v>
      </c>
      <c r="E860" s="46">
        <v>22.789699570815454</v>
      </c>
    </row>
    <row r="861" spans="1:5">
      <c r="A861" s="43" t="s">
        <v>1076</v>
      </c>
      <c r="B861" s="44" t="s">
        <v>953</v>
      </c>
      <c r="C861" s="44" t="s">
        <v>1016</v>
      </c>
      <c r="D861" s="45">
        <v>60</v>
      </c>
      <c r="E861" s="46">
        <v>23.175965665236053</v>
      </c>
    </row>
    <row r="862" spans="1:5">
      <c r="A862" s="3" t="s">
        <v>1077</v>
      </c>
      <c r="B862" s="11" t="s">
        <v>953</v>
      </c>
      <c r="C862" s="11" t="s">
        <v>1078</v>
      </c>
      <c r="D862" s="12">
        <v>0</v>
      </c>
      <c r="E862" s="13">
        <v>0</v>
      </c>
    </row>
    <row r="863" spans="1:5">
      <c r="A863" s="3" t="s">
        <v>1079</v>
      </c>
      <c r="B863" s="11" t="s">
        <v>953</v>
      </c>
      <c r="C863" s="11" t="s">
        <v>1078</v>
      </c>
      <c r="D863" s="12">
        <v>1</v>
      </c>
      <c r="E863" s="13">
        <v>0.38626609442060089</v>
      </c>
    </row>
    <row r="864" spans="1:5">
      <c r="A864" s="3" t="s">
        <v>1080</v>
      </c>
      <c r="B864" s="11" t="s">
        <v>953</v>
      </c>
      <c r="C864" s="11" t="s">
        <v>1078</v>
      </c>
      <c r="D864" s="12">
        <v>2</v>
      </c>
      <c r="E864" s="13">
        <v>0.77253218884120178</v>
      </c>
    </row>
    <row r="865" spans="1:5">
      <c r="A865" s="3" t="s">
        <v>1081</v>
      </c>
      <c r="B865" s="11" t="s">
        <v>953</v>
      </c>
      <c r="C865" s="11" t="s">
        <v>1078</v>
      </c>
      <c r="D865" s="12">
        <v>3</v>
      </c>
      <c r="E865" s="13">
        <v>1.1587982832618027</v>
      </c>
    </row>
    <row r="866" spans="1:5">
      <c r="A866" s="3" t="s">
        <v>1082</v>
      </c>
      <c r="B866" s="11" t="s">
        <v>953</v>
      </c>
      <c r="C866" s="11" t="s">
        <v>1078</v>
      </c>
      <c r="D866" s="12">
        <v>4</v>
      </c>
      <c r="E866" s="13">
        <v>1.5450643776824036</v>
      </c>
    </row>
    <row r="867" spans="1:5">
      <c r="A867" s="3" t="s">
        <v>1083</v>
      </c>
      <c r="B867" s="11" t="s">
        <v>953</v>
      </c>
      <c r="C867" s="11" t="s">
        <v>1078</v>
      </c>
      <c r="D867" s="12">
        <v>5</v>
      </c>
      <c r="E867" s="13">
        <v>1.9313304721030045</v>
      </c>
    </row>
    <row r="868" spans="1:5">
      <c r="A868" s="3" t="s">
        <v>1084</v>
      </c>
      <c r="B868" s="11" t="s">
        <v>953</v>
      </c>
      <c r="C868" s="11" t="s">
        <v>1078</v>
      </c>
      <c r="D868" s="12">
        <v>6</v>
      </c>
      <c r="E868" s="13">
        <v>2.3175965665236054</v>
      </c>
    </row>
    <row r="869" spans="1:5">
      <c r="A869" s="3" t="s">
        <v>1085</v>
      </c>
      <c r="B869" s="11" t="s">
        <v>953</v>
      </c>
      <c r="C869" s="11" t="s">
        <v>1078</v>
      </c>
      <c r="D869" s="12">
        <v>7</v>
      </c>
      <c r="E869" s="13">
        <v>2.703862660944206</v>
      </c>
    </row>
    <row r="870" spans="1:5">
      <c r="A870" s="3" t="s">
        <v>1086</v>
      </c>
      <c r="B870" s="11" t="s">
        <v>953</v>
      </c>
      <c r="C870" s="11" t="s">
        <v>1078</v>
      </c>
      <c r="D870" s="12">
        <v>8</v>
      </c>
      <c r="E870" s="13">
        <v>3.0901287553648071</v>
      </c>
    </row>
    <row r="871" spans="1:5">
      <c r="A871" s="3" t="s">
        <v>1087</v>
      </c>
      <c r="B871" s="11" t="s">
        <v>953</v>
      </c>
      <c r="C871" s="11" t="s">
        <v>1078</v>
      </c>
      <c r="D871" s="12">
        <v>9</v>
      </c>
      <c r="E871" s="13">
        <v>3.4763948497854082</v>
      </c>
    </row>
    <row r="872" spans="1:5">
      <c r="A872" s="3" t="s">
        <v>1088</v>
      </c>
      <c r="B872" s="11" t="s">
        <v>953</v>
      </c>
      <c r="C872" s="11" t="s">
        <v>1078</v>
      </c>
      <c r="D872" s="12">
        <v>10</v>
      </c>
      <c r="E872" s="13">
        <v>3.8626609442060089</v>
      </c>
    </row>
    <row r="873" spans="1:5">
      <c r="A873" s="3" t="s">
        <v>1089</v>
      </c>
      <c r="B873" s="11" t="s">
        <v>953</v>
      </c>
      <c r="C873" s="11" t="s">
        <v>1078</v>
      </c>
      <c r="D873" s="12">
        <v>11</v>
      </c>
      <c r="E873" s="13">
        <v>4.2489270386266096</v>
      </c>
    </row>
    <row r="874" spans="1:5">
      <c r="A874" s="3" t="s">
        <v>1090</v>
      </c>
      <c r="B874" s="11" t="s">
        <v>953</v>
      </c>
      <c r="C874" s="11" t="s">
        <v>1078</v>
      </c>
      <c r="D874" s="12">
        <v>12</v>
      </c>
      <c r="E874" s="13">
        <v>4.6351931330472107</v>
      </c>
    </row>
    <row r="875" spans="1:5">
      <c r="A875" s="3" t="s">
        <v>1091</v>
      </c>
      <c r="B875" s="11" t="s">
        <v>953</v>
      </c>
      <c r="C875" s="11" t="s">
        <v>1078</v>
      </c>
      <c r="D875" s="12">
        <v>13</v>
      </c>
      <c r="E875" s="13">
        <v>5.0214592274678118</v>
      </c>
    </row>
    <row r="876" spans="1:5">
      <c r="A876" s="3" t="s">
        <v>1092</v>
      </c>
      <c r="B876" s="11" t="s">
        <v>953</v>
      </c>
      <c r="C876" s="11" t="s">
        <v>1078</v>
      </c>
      <c r="D876" s="12">
        <v>14</v>
      </c>
      <c r="E876" s="13">
        <v>5.407725321888412</v>
      </c>
    </row>
    <row r="877" spans="1:5">
      <c r="A877" s="3" t="s">
        <v>1093</v>
      </c>
      <c r="B877" s="11" t="s">
        <v>953</v>
      </c>
      <c r="C877" s="11" t="s">
        <v>1078</v>
      </c>
      <c r="D877" s="12">
        <v>15</v>
      </c>
      <c r="E877" s="13">
        <v>5.7939914163090132</v>
      </c>
    </row>
    <row r="878" spans="1:5">
      <c r="A878" s="3" t="s">
        <v>1094</v>
      </c>
      <c r="B878" s="11" t="s">
        <v>953</v>
      </c>
      <c r="C878" s="11" t="s">
        <v>1078</v>
      </c>
      <c r="D878" s="12">
        <v>16</v>
      </c>
      <c r="E878" s="13">
        <v>6.1802575107296143</v>
      </c>
    </row>
    <row r="879" spans="1:5">
      <c r="A879" s="3" t="s">
        <v>1095</v>
      </c>
      <c r="B879" s="11" t="s">
        <v>953</v>
      </c>
      <c r="C879" s="11" t="s">
        <v>1078</v>
      </c>
      <c r="D879" s="12">
        <v>17</v>
      </c>
      <c r="E879" s="13">
        <v>6.5665236051502154</v>
      </c>
    </row>
    <row r="880" spans="1:5">
      <c r="A880" s="3" t="s">
        <v>1096</v>
      </c>
      <c r="B880" s="11" t="s">
        <v>953</v>
      </c>
      <c r="C880" s="11" t="s">
        <v>1078</v>
      </c>
      <c r="D880" s="12">
        <v>18</v>
      </c>
      <c r="E880" s="13">
        <v>6.9527896995708165</v>
      </c>
    </row>
    <row r="881" spans="1:5">
      <c r="A881" s="3" t="s">
        <v>1097</v>
      </c>
      <c r="B881" s="11" t="s">
        <v>953</v>
      </c>
      <c r="C881" s="11" t="s">
        <v>1078</v>
      </c>
      <c r="D881" s="12">
        <v>19</v>
      </c>
      <c r="E881" s="13">
        <v>7.3390557939914167</v>
      </c>
    </row>
    <row r="882" spans="1:5">
      <c r="A882" s="3" t="s">
        <v>1098</v>
      </c>
      <c r="B882" s="11" t="s">
        <v>953</v>
      </c>
      <c r="C882" s="11" t="s">
        <v>1078</v>
      </c>
      <c r="D882" s="12">
        <v>20</v>
      </c>
      <c r="E882" s="13">
        <v>7.7253218884120178</v>
      </c>
    </row>
    <row r="883" spans="1:5">
      <c r="A883" s="3" t="s">
        <v>1099</v>
      </c>
      <c r="B883" s="11" t="s">
        <v>953</v>
      </c>
      <c r="C883" s="11" t="s">
        <v>1078</v>
      </c>
      <c r="D883" s="12">
        <v>21</v>
      </c>
      <c r="E883" s="13">
        <v>8.1115879828326189</v>
      </c>
    </row>
    <row r="884" spans="1:5">
      <c r="A884" s="3" t="s">
        <v>1100</v>
      </c>
      <c r="B884" s="11" t="s">
        <v>953</v>
      </c>
      <c r="C884" s="11" t="s">
        <v>1078</v>
      </c>
      <c r="D884" s="12">
        <v>22</v>
      </c>
      <c r="E884" s="13">
        <v>8.4978540772532192</v>
      </c>
    </row>
    <row r="885" spans="1:5">
      <c r="A885" s="3" t="s">
        <v>1101</v>
      </c>
      <c r="B885" s="11" t="s">
        <v>953</v>
      </c>
      <c r="C885" s="11" t="s">
        <v>1078</v>
      </c>
      <c r="D885" s="12">
        <v>23</v>
      </c>
      <c r="E885" s="13">
        <v>8.8841201716738212</v>
      </c>
    </row>
    <row r="886" spans="1:5">
      <c r="A886" s="3" t="s">
        <v>1102</v>
      </c>
      <c r="B886" s="11" t="s">
        <v>953</v>
      </c>
      <c r="C886" s="11" t="s">
        <v>1078</v>
      </c>
      <c r="D886" s="12">
        <v>24</v>
      </c>
      <c r="E886" s="13">
        <v>9.2703862660944214</v>
      </c>
    </row>
    <row r="887" spans="1:5">
      <c r="A887" s="3" t="s">
        <v>1103</v>
      </c>
      <c r="B887" s="11" t="s">
        <v>953</v>
      </c>
      <c r="C887" s="11" t="s">
        <v>1078</v>
      </c>
      <c r="D887" s="12">
        <v>25</v>
      </c>
      <c r="E887" s="13">
        <v>9.6566523605150216</v>
      </c>
    </row>
    <row r="888" spans="1:5">
      <c r="A888" s="3" t="s">
        <v>1104</v>
      </c>
      <c r="B888" s="11" t="s">
        <v>953</v>
      </c>
      <c r="C888" s="11" t="s">
        <v>1078</v>
      </c>
      <c r="D888" s="12">
        <v>26</v>
      </c>
      <c r="E888" s="13">
        <v>10.042918454935624</v>
      </c>
    </row>
    <row r="889" spans="1:5">
      <c r="A889" s="3" t="s">
        <v>1105</v>
      </c>
      <c r="B889" s="11" t="s">
        <v>953</v>
      </c>
      <c r="C889" s="11" t="s">
        <v>1078</v>
      </c>
      <c r="D889" s="12">
        <v>27</v>
      </c>
      <c r="E889" s="13">
        <v>10.429184549356224</v>
      </c>
    </row>
    <row r="890" spans="1:5">
      <c r="A890" s="3" t="s">
        <v>1106</v>
      </c>
      <c r="B890" s="11" t="s">
        <v>953</v>
      </c>
      <c r="C890" s="11" t="s">
        <v>1078</v>
      </c>
      <c r="D890" s="12">
        <v>28</v>
      </c>
      <c r="E890" s="13">
        <v>10.815450643776824</v>
      </c>
    </row>
    <row r="891" spans="1:5">
      <c r="A891" s="3" t="s">
        <v>1107</v>
      </c>
      <c r="B891" s="11" t="s">
        <v>953</v>
      </c>
      <c r="C891" s="11" t="s">
        <v>1078</v>
      </c>
      <c r="D891" s="12">
        <v>29</v>
      </c>
      <c r="E891" s="13">
        <v>11.201716738197426</v>
      </c>
    </row>
    <row r="892" spans="1:5">
      <c r="A892" s="3" t="s">
        <v>1108</v>
      </c>
      <c r="B892" s="11" t="s">
        <v>953</v>
      </c>
      <c r="C892" s="11" t="s">
        <v>1078</v>
      </c>
      <c r="D892" s="12">
        <v>30</v>
      </c>
      <c r="E892" s="13">
        <v>11.587982832618026</v>
      </c>
    </row>
    <row r="893" spans="1:5">
      <c r="A893" s="3" t="s">
        <v>1109</v>
      </c>
      <c r="B893" s="11" t="s">
        <v>953</v>
      </c>
      <c r="C893" s="11" t="s">
        <v>1078</v>
      </c>
      <c r="D893" s="12">
        <v>31</v>
      </c>
      <c r="E893" s="13">
        <v>11.974248927038628</v>
      </c>
    </row>
    <row r="894" spans="1:5">
      <c r="A894" s="3" t="s">
        <v>1110</v>
      </c>
      <c r="B894" s="11" t="s">
        <v>953</v>
      </c>
      <c r="C894" s="11" t="s">
        <v>1078</v>
      </c>
      <c r="D894" s="12">
        <v>32</v>
      </c>
      <c r="E894" s="13">
        <v>12.360515021459229</v>
      </c>
    </row>
    <row r="895" spans="1:5">
      <c r="A895" s="3" t="s">
        <v>1111</v>
      </c>
      <c r="B895" s="11" t="s">
        <v>953</v>
      </c>
      <c r="C895" s="11" t="s">
        <v>1078</v>
      </c>
      <c r="D895" s="12">
        <v>33</v>
      </c>
      <c r="E895" s="13">
        <v>12.746781115879829</v>
      </c>
    </row>
    <row r="896" spans="1:5">
      <c r="A896" s="3" t="s">
        <v>1112</v>
      </c>
      <c r="B896" s="11" t="s">
        <v>953</v>
      </c>
      <c r="C896" s="11" t="s">
        <v>1078</v>
      </c>
      <c r="D896" s="12">
        <v>34</v>
      </c>
      <c r="E896" s="13">
        <v>13.133047210300431</v>
      </c>
    </row>
    <row r="897" spans="1:5">
      <c r="A897" s="3" t="s">
        <v>1113</v>
      </c>
      <c r="B897" s="11" t="s">
        <v>953</v>
      </c>
      <c r="C897" s="11" t="s">
        <v>1078</v>
      </c>
      <c r="D897" s="12">
        <v>35</v>
      </c>
      <c r="E897" s="13">
        <v>13.519313304721031</v>
      </c>
    </row>
    <row r="898" spans="1:5">
      <c r="A898" s="3" t="s">
        <v>1114</v>
      </c>
      <c r="B898" s="11" t="s">
        <v>953</v>
      </c>
      <c r="C898" s="11" t="s">
        <v>1078</v>
      </c>
      <c r="D898" s="12">
        <v>36</v>
      </c>
      <c r="E898" s="13">
        <v>13.905579399141633</v>
      </c>
    </row>
    <row r="899" spans="1:5">
      <c r="A899" s="3" t="s">
        <v>1115</v>
      </c>
      <c r="B899" s="11" t="s">
        <v>953</v>
      </c>
      <c r="C899" s="11" t="s">
        <v>1078</v>
      </c>
      <c r="D899" s="12">
        <v>37</v>
      </c>
      <c r="E899" s="13">
        <v>14.291845493562233</v>
      </c>
    </row>
    <row r="900" spans="1:5">
      <c r="A900" s="3" t="s">
        <v>1116</v>
      </c>
      <c r="B900" s="11" t="s">
        <v>953</v>
      </c>
      <c r="C900" s="11" t="s">
        <v>1078</v>
      </c>
      <c r="D900" s="12">
        <v>38</v>
      </c>
      <c r="E900" s="13">
        <v>14.678111587982833</v>
      </c>
    </row>
    <row r="901" spans="1:5">
      <c r="A901" s="3" t="s">
        <v>1117</v>
      </c>
      <c r="B901" s="11" t="s">
        <v>953</v>
      </c>
      <c r="C901" s="11" t="s">
        <v>1078</v>
      </c>
      <c r="D901" s="12">
        <v>39</v>
      </c>
      <c r="E901" s="13">
        <v>15.064377682403435</v>
      </c>
    </row>
    <row r="902" spans="1:5">
      <c r="A902" s="3" t="s">
        <v>1118</v>
      </c>
      <c r="B902" s="11" t="s">
        <v>953</v>
      </c>
      <c r="C902" s="11" t="s">
        <v>1078</v>
      </c>
      <c r="D902" s="12">
        <v>40</v>
      </c>
      <c r="E902" s="13">
        <v>15.450643776824036</v>
      </c>
    </row>
    <row r="903" spans="1:5">
      <c r="A903" s="3" t="s">
        <v>1119</v>
      </c>
      <c r="B903" s="11" t="s">
        <v>953</v>
      </c>
      <c r="C903" s="11" t="s">
        <v>1078</v>
      </c>
      <c r="D903" s="12">
        <v>41</v>
      </c>
      <c r="E903" s="13">
        <v>15.836909871244636</v>
      </c>
    </row>
    <row r="904" spans="1:5">
      <c r="A904" s="3" t="s">
        <v>1120</v>
      </c>
      <c r="B904" s="11" t="s">
        <v>953</v>
      </c>
      <c r="C904" s="11" t="s">
        <v>1078</v>
      </c>
      <c r="D904" s="12">
        <v>42</v>
      </c>
      <c r="E904" s="13">
        <v>16.223175965665238</v>
      </c>
    </row>
    <row r="905" spans="1:5">
      <c r="A905" s="3" t="s">
        <v>1121</v>
      </c>
      <c r="B905" s="11" t="s">
        <v>953</v>
      </c>
      <c r="C905" s="11" t="s">
        <v>1078</v>
      </c>
      <c r="D905" s="12">
        <v>43</v>
      </c>
      <c r="E905" s="13">
        <v>16.60944206008584</v>
      </c>
    </row>
    <row r="906" spans="1:5">
      <c r="A906" s="3" t="s">
        <v>1122</v>
      </c>
      <c r="B906" s="11" t="s">
        <v>953</v>
      </c>
      <c r="C906" s="11" t="s">
        <v>1078</v>
      </c>
      <c r="D906" s="12">
        <v>44</v>
      </c>
      <c r="E906" s="13">
        <v>16.995708154506438</v>
      </c>
    </row>
    <row r="907" spans="1:5">
      <c r="A907" s="3" t="s">
        <v>1123</v>
      </c>
      <c r="B907" s="11" t="s">
        <v>953</v>
      </c>
      <c r="C907" s="11" t="s">
        <v>1078</v>
      </c>
      <c r="D907" s="12">
        <v>45</v>
      </c>
      <c r="E907" s="13">
        <v>17.38197424892704</v>
      </c>
    </row>
    <row r="908" spans="1:5">
      <c r="A908" s="3" t="s">
        <v>1124</v>
      </c>
      <c r="B908" s="11" t="s">
        <v>953</v>
      </c>
      <c r="C908" s="11" t="s">
        <v>1078</v>
      </c>
      <c r="D908" s="12">
        <v>46</v>
      </c>
      <c r="E908" s="13">
        <v>17.768240343347642</v>
      </c>
    </row>
    <row r="909" spans="1:5">
      <c r="A909" s="3" t="s">
        <v>1125</v>
      </c>
      <c r="B909" s="11" t="s">
        <v>953</v>
      </c>
      <c r="C909" s="11" t="s">
        <v>1078</v>
      </c>
      <c r="D909" s="12">
        <v>47</v>
      </c>
      <c r="E909" s="13">
        <v>18.154506437768241</v>
      </c>
    </row>
    <row r="910" spans="1:5">
      <c r="A910" s="3" t="s">
        <v>1126</v>
      </c>
      <c r="B910" s="11" t="s">
        <v>953</v>
      </c>
      <c r="C910" s="11" t="s">
        <v>1078</v>
      </c>
      <c r="D910" s="12">
        <v>48</v>
      </c>
      <c r="E910" s="13">
        <v>18.540772532188843</v>
      </c>
    </row>
    <row r="911" spans="1:5">
      <c r="A911" s="3" t="s">
        <v>1127</v>
      </c>
      <c r="B911" s="11" t="s">
        <v>953</v>
      </c>
      <c r="C911" s="11" t="s">
        <v>1078</v>
      </c>
      <c r="D911" s="12">
        <v>49</v>
      </c>
      <c r="E911" s="13">
        <v>18.927038626609445</v>
      </c>
    </row>
    <row r="912" spans="1:5">
      <c r="A912" s="3" t="s">
        <v>1128</v>
      </c>
      <c r="B912" s="11" t="s">
        <v>953</v>
      </c>
      <c r="C912" s="11" t="s">
        <v>1078</v>
      </c>
      <c r="D912" s="12">
        <v>50</v>
      </c>
      <c r="E912" s="13">
        <v>19.313304721030043</v>
      </c>
    </row>
    <row r="913" spans="1:5">
      <c r="A913" s="3" t="s">
        <v>1129</v>
      </c>
      <c r="B913" s="11" t="s">
        <v>953</v>
      </c>
      <c r="C913" s="11" t="s">
        <v>1078</v>
      </c>
      <c r="D913" s="12">
        <v>51</v>
      </c>
      <c r="E913" s="13">
        <v>19.699570815450645</v>
      </c>
    </row>
    <row r="914" spans="1:5">
      <c r="A914" s="3" t="s">
        <v>1130</v>
      </c>
      <c r="B914" s="11" t="s">
        <v>953</v>
      </c>
      <c r="C914" s="11" t="s">
        <v>1078</v>
      </c>
      <c r="D914" s="12">
        <v>52</v>
      </c>
      <c r="E914" s="13">
        <v>20.085836909871247</v>
      </c>
    </row>
    <row r="915" spans="1:5">
      <c r="A915" s="3" t="s">
        <v>1131</v>
      </c>
      <c r="B915" s="11" t="s">
        <v>953</v>
      </c>
      <c r="C915" s="11" t="s">
        <v>1078</v>
      </c>
      <c r="D915" s="12">
        <v>53</v>
      </c>
      <c r="E915" s="13">
        <v>20.472103004291846</v>
      </c>
    </row>
    <row r="916" spans="1:5">
      <c r="A916" s="3" t="s">
        <v>1132</v>
      </c>
      <c r="B916" s="11" t="s">
        <v>953</v>
      </c>
      <c r="C916" s="11" t="s">
        <v>1078</v>
      </c>
      <c r="D916" s="12">
        <v>54</v>
      </c>
      <c r="E916" s="13">
        <v>20.858369098712448</v>
      </c>
    </row>
    <row r="917" spans="1:5">
      <c r="A917" s="3" t="s">
        <v>1133</v>
      </c>
      <c r="B917" s="11" t="s">
        <v>953</v>
      </c>
      <c r="C917" s="11" t="s">
        <v>1078</v>
      </c>
      <c r="D917" s="12">
        <v>55</v>
      </c>
      <c r="E917" s="13">
        <v>21.24463519313305</v>
      </c>
    </row>
    <row r="918" spans="1:5">
      <c r="A918" s="3" t="s">
        <v>1134</v>
      </c>
      <c r="B918" s="11" t="s">
        <v>953</v>
      </c>
      <c r="C918" s="11" t="s">
        <v>1078</v>
      </c>
      <c r="D918" s="12">
        <v>56</v>
      </c>
      <c r="E918" s="13">
        <v>21.630901287553648</v>
      </c>
    </row>
    <row r="919" spans="1:5">
      <c r="A919" s="3" t="s">
        <v>1135</v>
      </c>
      <c r="B919" s="11" t="s">
        <v>953</v>
      </c>
      <c r="C919" s="11" t="s">
        <v>1078</v>
      </c>
      <c r="D919" s="12">
        <v>57</v>
      </c>
      <c r="E919" s="13">
        <v>22.01716738197425</v>
      </c>
    </row>
    <row r="920" spans="1:5">
      <c r="A920" s="3" t="s">
        <v>1136</v>
      </c>
      <c r="B920" s="11" t="s">
        <v>953</v>
      </c>
      <c r="C920" s="11" t="s">
        <v>1078</v>
      </c>
      <c r="D920" s="12">
        <v>58</v>
      </c>
      <c r="E920" s="13">
        <v>22.403433476394852</v>
      </c>
    </row>
    <row r="921" spans="1:5">
      <c r="A921" s="3" t="s">
        <v>1137</v>
      </c>
      <c r="B921" s="11" t="s">
        <v>953</v>
      </c>
      <c r="C921" s="11" t="s">
        <v>1078</v>
      </c>
      <c r="D921" s="12">
        <v>59</v>
      </c>
      <c r="E921" s="13">
        <v>22.789699570815454</v>
      </c>
    </row>
    <row r="922" spans="1:5">
      <c r="A922" s="3" t="s">
        <v>1138</v>
      </c>
      <c r="B922" s="11" t="s">
        <v>953</v>
      </c>
      <c r="C922" s="11" t="s">
        <v>1078</v>
      </c>
      <c r="D922" s="12">
        <v>60</v>
      </c>
      <c r="E922" s="13">
        <v>23.175965665236053</v>
      </c>
    </row>
    <row r="923" spans="1:5">
      <c r="A923" s="3" t="s">
        <v>1139</v>
      </c>
      <c r="B923" s="11" t="s">
        <v>953</v>
      </c>
      <c r="C923" s="11" t="s">
        <v>1140</v>
      </c>
      <c r="D923" s="12">
        <v>0</v>
      </c>
      <c r="E923" s="13">
        <v>0</v>
      </c>
    </row>
    <row r="924" spans="1:5">
      <c r="A924" s="3" t="s">
        <v>1141</v>
      </c>
      <c r="B924" s="11" t="s">
        <v>953</v>
      </c>
      <c r="C924" s="11" t="s">
        <v>1140</v>
      </c>
      <c r="D924" s="12">
        <v>1</v>
      </c>
      <c r="E924" s="13">
        <v>0.54077253218884114</v>
      </c>
    </row>
    <row r="925" spans="1:5">
      <c r="A925" s="3" t="s">
        <v>1142</v>
      </c>
      <c r="B925" s="11" t="s">
        <v>953</v>
      </c>
      <c r="C925" s="11" t="s">
        <v>1140</v>
      </c>
      <c r="D925" s="12">
        <v>2</v>
      </c>
      <c r="E925" s="13">
        <v>1.0815450643776823</v>
      </c>
    </row>
    <row r="926" spans="1:5">
      <c r="A926" s="3" t="s">
        <v>1143</v>
      </c>
      <c r="B926" s="11" t="s">
        <v>953</v>
      </c>
      <c r="C926" s="11" t="s">
        <v>1140</v>
      </c>
      <c r="D926" s="12">
        <v>3</v>
      </c>
      <c r="E926" s="13">
        <v>1.6223175965665235</v>
      </c>
    </row>
    <row r="927" spans="1:5">
      <c r="A927" s="3" t="s">
        <v>1144</v>
      </c>
      <c r="B927" s="11" t="s">
        <v>953</v>
      </c>
      <c r="C927" s="11" t="s">
        <v>1140</v>
      </c>
      <c r="D927" s="12">
        <v>4</v>
      </c>
      <c r="E927" s="13">
        <v>2.1630901287553645</v>
      </c>
    </row>
    <row r="928" spans="1:5">
      <c r="A928" s="3" t="s">
        <v>1145</v>
      </c>
      <c r="B928" s="11" t="s">
        <v>953</v>
      </c>
      <c r="C928" s="11" t="s">
        <v>1140</v>
      </c>
      <c r="D928" s="12">
        <v>5</v>
      </c>
      <c r="E928" s="13">
        <v>2.7038626609442056</v>
      </c>
    </row>
    <row r="929" spans="1:5">
      <c r="A929" s="3" t="s">
        <v>1146</v>
      </c>
      <c r="B929" s="11" t="s">
        <v>953</v>
      </c>
      <c r="C929" s="11" t="s">
        <v>1140</v>
      </c>
      <c r="D929" s="12">
        <v>6</v>
      </c>
      <c r="E929" s="13">
        <v>3.244635193133047</v>
      </c>
    </row>
    <row r="930" spans="1:5">
      <c r="A930" s="3" t="s">
        <v>1147</v>
      </c>
      <c r="B930" s="11" t="s">
        <v>953</v>
      </c>
      <c r="C930" s="11" t="s">
        <v>1140</v>
      </c>
      <c r="D930" s="12">
        <v>7</v>
      </c>
      <c r="E930" s="13">
        <v>3.7854077253218881</v>
      </c>
    </row>
    <row r="931" spans="1:5">
      <c r="A931" s="3" t="s">
        <v>1148</v>
      </c>
      <c r="B931" s="11" t="s">
        <v>953</v>
      </c>
      <c r="C931" s="11" t="s">
        <v>1140</v>
      </c>
      <c r="D931" s="12">
        <v>8</v>
      </c>
      <c r="E931" s="13">
        <v>4.3261802575107291</v>
      </c>
    </row>
    <row r="932" spans="1:5">
      <c r="A932" s="3" t="s">
        <v>1149</v>
      </c>
      <c r="B932" s="11" t="s">
        <v>953</v>
      </c>
      <c r="C932" s="11" t="s">
        <v>1140</v>
      </c>
      <c r="D932" s="12">
        <v>9</v>
      </c>
      <c r="E932" s="13">
        <v>4.8669527896995701</v>
      </c>
    </row>
    <row r="933" spans="1:5">
      <c r="A933" s="3" t="s">
        <v>1150</v>
      </c>
      <c r="B933" s="11" t="s">
        <v>953</v>
      </c>
      <c r="C933" s="11" t="s">
        <v>1140</v>
      </c>
      <c r="D933" s="12">
        <v>10</v>
      </c>
      <c r="E933" s="13">
        <v>5.4077253218884112</v>
      </c>
    </row>
    <row r="934" spans="1:5">
      <c r="A934" s="3" t="s">
        <v>1151</v>
      </c>
      <c r="B934" s="11" t="s">
        <v>953</v>
      </c>
      <c r="C934" s="11" t="s">
        <v>1140</v>
      </c>
      <c r="D934" s="12">
        <v>11</v>
      </c>
      <c r="E934" s="13">
        <v>5.9484978540772522</v>
      </c>
    </row>
    <row r="935" spans="1:5">
      <c r="A935" s="3" t="s">
        <v>1152</v>
      </c>
      <c r="B935" s="11" t="s">
        <v>953</v>
      </c>
      <c r="C935" s="11" t="s">
        <v>1140</v>
      </c>
      <c r="D935" s="12">
        <v>12</v>
      </c>
      <c r="E935" s="13">
        <v>6.4892703862660941</v>
      </c>
    </row>
    <row r="936" spans="1:5">
      <c r="A936" s="3" t="s">
        <v>1153</v>
      </c>
      <c r="B936" s="11" t="s">
        <v>953</v>
      </c>
      <c r="C936" s="11" t="s">
        <v>1140</v>
      </c>
      <c r="D936" s="12">
        <v>13</v>
      </c>
      <c r="E936" s="13">
        <v>7.0300429184549351</v>
      </c>
    </row>
    <row r="937" spans="1:5">
      <c r="A937" s="3" t="s">
        <v>1154</v>
      </c>
      <c r="B937" s="11" t="s">
        <v>953</v>
      </c>
      <c r="C937" s="11" t="s">
        <v>1140</v>
      </c>
      <c r="D937" s="12">
        <v>14</v>
      </c>
      <c r="E937" s="13">
        <v>7.5708154506437761</v>
      </c>
    </row>
    <row r="938" spans="1:5">
      <c r="A938" s="3" t="s">
        <v>1155</v>
      </c>
      <c r="B938" s="11" t="s">
        <v>953</v>
      </c>
      <c r="C938" s="11" t="s">
        <v>1140</v>
      </c>
      <c r="D938" s="12">
        <v>15</v>
      </c>
      <c r="E938" s="13">
        <v>8.1115879828326172</v>
      </c>
    </row>
    <row r="939" spans="1:5">
      <c r="A939" s="3" t="s">
        <v>1156</v>
      </c>
      <c r="B939" s="11" t="s">
        <v>953</v>
      </c>
      <c r="C939" s="11" t="s">
        <v>1140</v>
      </c>
      <c r="D939" s="12">
        <v>16</v>
      </c>
      <c r="E939" s="13">
        <v>8.6523605150214582</v>
      </c>
    </row>
    <row r="940" spans="1:5">
      <c r="A940" s="3" t="s">
        <v>1157</v>
      </c>
      <c r="B940" s="11" t="s">
        <v>953</v>
      </c>
      <c r="C940" s="11" t="s">
        <v>1140</v>
      </c>
      <c r="D940" s="12">
        <v>17</v>
      </c>
      <c r="E940" s="13">
        <v>9.1931330472102992</v>
      </c>
    </row>
    <row r="941" spans="1:5">
      <c r="A941" s="3" t="s">
        <v>1158</v>
      </c>
      <c r="B941" s="11" t="s">
        <v>953</v>
      </c>
      <c r="C941" s="11" t="s">
        <v>1140</v>
      </c>
      <c r="D941" s="12">
        <v>18</v>
      </c>
      <c r="E941" s="13">
        <v>9.7339055793991403</v>
      </c>
    </row>
    <row r="942" spans="1:5">
      <c r="A942" s="3" t="s">
        <v>1159</v>
      </c>
      <c r="B942" s="11" t="s">
        <v>953</v>
      </c>
      <c r="C942" s="11" t="s">
        <v>1140</v>
      </c>
      <c r="D942" s="12">
        <v>19</v>
      </c>
      <c r="E942" s="13">
        <v>10.274678111587981</v>
      </c>
    </row>
    <row r="943" spans="1:5">
      <c r="A943" s="3" t="s">
        <v>1160</v>
      </c>
      <c r="B943" s="11" t="s">
        <v>953</v>
      </c>
      <c r="C943" s="11" t="s">
        <v>1140</v>
      </c>
      <c r="D943" s="12">
        <v>20</v>
      </c>
      <c r="E943" s="13">
        <v>10.815450643776822</v>
      </c>
    </row>
    <row r="944" spans="1:5">
      <c r="A944" s="3" t="s">
        <v>1161</v>
      </c>
      <c r="B944" s="11" t="s">
        <v>953</v>
      </c>
      <c r="C944" s="11" t="s">
        <v>1140</v>
      </c>
      <c r="D944" s="12">
        <v>21</v>
      </c>
      <c r="E944" s="13">
        <v>11.356223175965663</v>
      </c>
    </row>
    <row r="945" spans="1:5">
      <c r="A945" s="3" t="s">
        <v>1162</v>
      </c>
      <c r="B945" s="11" t="s">
        <v>953</v>
      </c>
      <c r="C945" s="11" t="s">
        <v>1140</v>
      </c>
      <c r="D945" s="12">
        <v>22</v>
      </c>
      <c r="E945" s="13">
        <v>11.896995708154504</v>
      </c>
    </row>
    <row r="946" spans="1:5">
      <c r="A946" s="3" t="s">
        <v>1163</v>
      </c>
      <c r="B946" s="11" t="s">
        <v>953</v>
      </c>
      <c r="C946" s="11" t="s">
        <v>1140</v>
      </c>
      <c r="D946" s="12">
        <v>23</v>
      </c>
      <c r="E946" s="13">
        <v>12.437768240343345</v>
      </c>
    </row>
    <row r="947" spans="1:5">
      <c r="A947" s="3" t="s">
        <v>1164</v>
      </c>
      <c r="B947" s="11" t="s">
        <v>953</v>
      </c>
      <c r="C947" s="11" t="s">
        <v>1140</v>
      </c>
      <c r="D947" s="12">
        <v>24</v>
      </c>
      <c r="E947" s="13">
        <v>12.978540772532188</v>
      </c>
    </row>
    <row r="948" spans="1:5">
      <c r="A948" s="3" t="s">
        <v>1165</v>
      </c>
      <c r="B948" s="11" t="s">
        <v>953</v>
      </c>
      <c r="C948" s="11" t="s">
        <v>1140</v>
      </c>
      <c r="D948" s="12">
        <v>25</v>
      </c>
      <c r="E948" s="13">
        <v>13.519313304721029</v>
      </c>
    </row>
    <row r="949" spans="1:5">
      <c r="A949" s="3" t="s">
        <v>1166</v>
      </c>
      <c r="B949" s="11" t="s">
        <v>953</v>
      </c>
      <c r="C949" s="11" t="s">
        <v>1140</v>
      </c>
      <c r="D949" s="12">
        <v>26</v>
      </c>
      <c r="E949" s="13">
        <v>14.06008583690987</v>
      </c>
    </row>
    <row r="950" spans="1:5">
      <c r="A950" s="3" t="s">
        <v>1167</v>
      </c>
      <c r="B950" s="11" t="s">
        <v>953</v>
      </c>
      <c r="C950" s="11" t="s">
        <v>1140</v>
      </c>
      <c r="D950" s="12">
        <v>27</v>
      </c>
      <c r="E950" s="13">
        <v>14.600858369098711</v>
      </c>
    </row>
    <row r="951" spans="1:5">
      <c r="A951" s="3" t="s">
        <v>1168</v>
      </c>
      <c r="B951" s="11" t="s">
        <v>953</v>
      </c>
      <c r="C951" s="11" t="s">
        <v>1140</v>
      </c>
      <c r="D951" s="12">
        <v>28</v>
      </c>
      <c r="E951" s="13">
        <v>15.141630901287552</v>
      </c>
    </row>
    <row r="952" spans="1:5">
      <c r="A952" s="3" t="s">
        <v>1169</v>
      </c>
      <c r="B952" s="11" t="s">
        <v>953</v>
      </c>
      <c r="C952" s="11" t="s">
        <v>1140</v>
      </c>
      <c r="D952" s="12">
        <v>29</v>
      </c>
      <c r="E952" s="13">
        <v>15.682403433476393</v>
      </c>
    </row>
    <row r="953" spans="1:5">
      <c r="A953" s="3" t="s">
        <v>1170</v>
      </c>
      <c r="B953" s="11" t="s">
        <v>953</v>
      </c>
      <c r="C953" s="11" t="s">
        <v>1140</v>
      </c>
      <c r="D953" s="12">
        <v>30</v>
      </c>
      <c r="E953" s="13">
        <v>16.223175965665234</v>
      </c>
    </row>
    <row r="954" spans="1:5">
      <c r="A954" s="3" t="s">
        <v>1171</v>
      </c>
      <c r="B954" s="11" t="s">
        <v>953</v>
      </c>
      <c r="C954" s="11" t="s">
        <v>1140</v>
      </c>
      <c r="D954" s="12">
        <v>31</v>
      </c>
      <c r="E954" s="13">
        <v>16.763948497854074</v>
      </c>
    </row>
    <row r="955" spans="1:5">
      <c r="A955" s="3" t="s">
        <v>1172</v>
      </c>
      <c r="B955" s="11" t="s">
        <v>953</v>
      </c>
      <c r="C955" s="11" t="s">
        <v>1140</v>
      </c>
      <c r="D955" s="12">
        <v>32</v>
      </c>
      <c r="E955" s="13">
        <v>17.304721030042916</v>
      </c>
    </row>
    <row r="956" spans="1:5">
      <c r="A956" s="3" t="s">
        <v>1173</v>
      </c>
      <c r="B956" s="11" t="s">
        <v>953</v>
      </c>
      <c r="C956" s="11" t="s">
        <v>1140</v>
      </c>
      <c r="D956" s="12">
        <v>33</v>
      </c>
      <c r="E956" s="13">
        <v>17.845493562231759</v>
      </c>
    </row>
    <row r="957" spans="1:5">
      <c r="A957" s="3" t="s">
        <v>1174</v>
      </c>
      <c r="B957" s="11" t="s">
        <v>953</v>
      </c>
      <c r="C957" s="11" t="s">
        <v>1140</v>
      </c>
      <c r="D957" s="12">
        <v>34</v>
      </c>
      <c r="E957" s="13">
        <v>18.386266094420598</v>
      </c>
    </row>
    <row r="958" spans="1:5">
      <c r="A958" s="3" t="s">
        <v>1175</v>
      </c>
      <c r="B958" s="11" t="s">
        <v>953</v>
      </c>
      <c r="C958" s="11" t="s">
        <v>1140</v>
      </c>
      <c r="D958" s="12">
        <v>35</v>
      </c>
      <c r="E958" s="13">
        <v>18.927038626609441</v>
      </c>
    </row>
    <row r="959" spans="1:5">
      <c r="A959" s="3" t="s">
        <v>1176</v>
      </c>
      <c r="B959" s="11" t="s">
        <v>953</v>
      </c>
      <c r="C959" s="11" t="s">
        <v>1140</v>
      </c>
      <c r="D959" s="12">
        <v>36</v>
      </c>
      <c r="E959" s="13">
        <v>19.467811158798281</v>
      </c>
    </row>
    <row r="960" spans="1:5">
      <c r="A960" s="3" t="s">
        <v>1177</v>
      </c>
      <c r="B960" s="11" t="s">
        <v>953</v>
      </c>
      <c r="C960" s="11" t="s">
        <v>1140</v>
      </c>
      <c r="D960" s="12">
        <v>37</v>
      </c>
      <c r="E960" s="13">
        <v>20.008583690987123</v>
      </c>
    </row>
    <row r="961" spans="1:5">
      <c r="A961" s="3" t="s">
        <v>1178</v>
      </c>
      <c r="B961" s="11" t="s">
        <v>953</v>
      </c>
      <c r="C961" s="11" t="s">
        <v>1140</v>
      </c>
      <c r="D961" s="12">
        <v>38</v>
      </c>
      <c r="E961" s="13">
        <v>20.549356223175963</v>
      </c>
    </row>
    <row r="962" spans="1:5">
      <c r="A962" s="3" t="s">
        <v>1179</v>
      </c>
      <c r="B962" s="11" t="s">
        <v>953</v>
      </c>
      <c r="C962" s="11" t="s">
        <v>1140</v>
      </c>
      <c r="D962" s="12">
        <v>39</v>
      </c>
      <c r="E962" s="13">
        <v>21.090128755364805</v>
      </c>
    </row>
    <row r="963" spans="1:5">
      <c r="A963" s="3" t="s">
        <v>1180</v>
      </c>
      <c r="B963" s="11" t="s">
        <v>953</v>
      </c>
      <c r="C963" s="11" t="s">
        <v>1140</v>
      </c>
      <c r="D963" s="12">
        <v>40</v>
      </c>
      <c r="E963" s="13">
        <v>21.630901287553645</v>
      </c>
    </row>
    <row r="964" spans="1:5">
      <c r="A964" s="3" t="s">
        <v>1181</v>
      </c>
      <c r="B964" s="11" t="s">
        <v>953</v>
      </c>
      <c r="C964" s="11" t="s">
        <v>1140</v>
      </c>
      <c r="D964" s="12">
        <v>41</v>
      </c>
      <c r="E964" s="13">
        <v>22.171673819742487</v>
      </c>
    </row>
    <row r="965" spans="1:5">
      <c r="A965" s="3" t="s">
        <v>1182</v>
      </c>
      <c r="B965" s="11" t="s">
        <v>953</v>
      </c>
      <c r="C965" s="11" t="s">
        <v>1140</v>
      </c>
      <c r="D965" s="12">
        <v>42</v>
      </c>
      <c r="E965" s="13">
        <v>22.712446351931327</v>
      </c>
    </row>
    <row r="966" spans="1:5">
      <c r="A966" s="3" t="s">
        <v>1183</v>
      </c>
      <c r="B966" s="11" t="s">
        <v>953</v>
      </c>
      <c r="C966" s="11" t="s">
        <v>1140</v>
      </c>
      <c r="D966" s="12">
        <v>43</v>
      </c>
      <c r="E966" s="13">
        <v>23.253218884120169</v>
      </c>
    </row>
    <row r="967" spans="1:5">
      <c r="A967" s="3" t="s">
        <v>1184</v>
      </c>
      <c r="B967" s="11" t="s">
        <v>953</v>
      </c>
      <c r="C967" s="11" t="s">
        <v>1140</v>
      </c>
      <c r="D967" s="12">
        <v>44</v>
      </c>
      <c r="E967" s="13">
        <v>23.793991416309009</v>
      </c>
    </row>
    <row r="968" spans="1:5">
      <c r="A968" s="3" t="s">
        <v>1185</v>
      </c>
      <c r="B968" s="11" t="s">
        <v>953</v>
      </c>
      <c r="C968" s="11" t="s">
        <v>1140</v>
      </c>
      <c r="D968" s="12">
        <v>45</v>
      </c>
      <c r="E968" s="13">
        <v>24.334763948497852</v>
      </c>
    </row>
    <row r="969" spans="1:5">
      <c r="A969" s="3" t="s">
        <v>1186</v>
      </c>
      <c r="B969" s="11" t="s">
        <v>953</v>
      </c>
      <c r="C969" s="11" t="s">
        <v>1140</v>
      </c>
      <c r="D969" s="12">
        <v>46</v>
      </c>
      <c r="E969" s="13">
        <v>24.875536480686691</v>
      </c>
    </row>
    <row r="970" spans="1:5">
      <c r="A970" s="3" t="s">
        <v>1187</v>
      </c>
      <c r="B970" s="11" t="s">
        <v>953</v>
      </c>
      <c r="C970" s="11" t="s">
        <v>1140</v>
      </c>
      <c r="D970" s="12">
        <v>47</v>
      </c>
      <c r="E970" s="13">
        <v>25.416309012875534</v>
      </c>
    </row>
    <row r="971" spans="1:5">
      <c r="A971" s="3" t="s">
        <v>1188</v>
      </c>
      <c r="B971" s="11" t="s">
        <v>953</v>
      </c>
      <c r="C971" s="11" t="s">
        <v>1140</v>
      </c>
      <c r="D971" s="12">
        <v>48</v>
      </c>
      <c r="E971" s="13">
        <v>25.957081545064376</v>
      </c>
    </row>
    <row r="972" spans="1:5">
      <c r="A972" s="3" t="s">
        <v>1189</v>
      </c>
      <c r="B972" s="11" t="s">
        <v>953</v>
      </c>
      <c r="C972" s="11" t="s">
        <v>1140</v>
      </c>
      <c r="D972" s="12">
        <v>49</v>
      </c>
      <c r="E972" s="13">
        <v>26.497854077253216</v>
      </c>
    </row>
    <row r="973" spans="1:5">
      <c r="A973" s="3" t="s">
        <v>1190</v>
      </c>
      <c r="B973" s="11" t="s">
        <v>953</v>
      </c>
      <c r="C973" s="11" t="s">
        <v>1140</v>
      </c>
      <c r="D973" s="12">
        <v>50</v>
      </c>
      <c r="E973" s="13">
        <v>27.038626609442058</v>
      </c>
    </row>
    <row r="974" spans="1:5">
      <c r="A974" s="3" t="s">
        <v>1191</v>
      </c>
      <c r="B974" s="11" t="s">
        <v>953</v>
      </c>
      <c r="C974" s="11" t="s">
        <v>1140</v>
      </c>
      <c r="D974" s="12">
        <v>51</v>
      </c>
      <c r="E974" s="13">
        <v>27.579399141630898</v>
      </c>
    </row>
    <row r="975" spans="1:5">
      <c r="A975" s="3" t="s">
        <v>1192</v>
      </c>
      <c r="B975" s="11" t="s">
        <v>953</v>
      </c>
      <c r="C975" s="11" t="s">
        <v>1140</v>
      </c>
      <c r="D975" s="12">
        <v>52</v>
      </c>
      <c r="E975" s="13">
        <v>28.12017167381974</v>
      </c>
    </row>
    <row r="976" spans="1:5">
      <c r="A976" s="3" t="s">
        <v>1193</v>
      </c>
      <c r="B976" s="11" t="s">
        <v>953</v>
      </c>
      <c r="C976" s="11" t="s">
        <v>1140</v>
      </c>
      <c r="D976" s="12">
        <v>53</v>
      </c>
      <c r="E976" s="13">
        <v>28.66094420600858</v>
      </c>
    </row>
    <row r="977" spans="1:5">
      <c r="A977" s="3" t="s">
        <v>1194</v>
      </c>
      <c r="B977" s="11" t="s">
        <v>953</v>
      </c>
      <c r="C977" s="11" t="s">
        <v>1140</v>
      </c>
      <c r="D977" s="12">
        <v>54</v>
      </c>
      <c r="E977" s="13">
        <v>29.201716738197423</v>
      </c>
    </row>
    <row r="978" spans="1:5">
      <c r="A978" s="3" t="s">
        <v>1195</v>
      </c>
      <c r="B978" s="11" t="s">
        <v>953</v>
      </c>
      <c r="C978" s="11" t="s">
        <v>1140</v>
      </c>
      <c r="D978" s="12">
        <v>55</v>
      </c>
      <c r="E978" s="13">
        <v>29.742489270386262</v>
      </c>
    </row>
    <row r="979" spans="1:5">
      <c r="A979" s="3" t="s">
        <v>1196</v>
      </c>
      <c r="B979" s="11" t="s">
        <v>953</v>
      </c>
      <c r="C979" s="11" t="s">
        <v>1140</v>
      </c>
      <c r="D979" s="12">
        <v>56</v>
      </c>
      <c r="E979" s="13">
        <v>30.283261802575105</v>
      </c>
    </row>
    <row r="980" spans="1:5">
      <c r="A980" s="3" t="s">
        <v>1197</v>
      </c>
      <c r="B980" s="11" t="s">
        <v>953</v>
      </c>
      <c r="C980" s="11" t="s">
        <v>1140</v>
      </c>
      <c r="D980" s="12">
        <v>57</v>
      </c>
      <c r="E980" s="13">
        <v>30.824034334763944</v>
      </c>
    </row>
    <row r="981" spans="1:5">
      <c r="A981" s="3" t="s">
        <v>1198</v>
      </c>
      <c r="B981" s="11" t="s">
        <v>953</v>
      </c>
      <c r="C981" s="11" t="s">
        <v>1140</v>
      </c>
      <c r="D981" s="12">
        <v>58</v>
      </c>
      <c r="E981" s="13">
        <v>31.364806866952787</v>
      </c>
    </row>
    <row r="982" spans="1:5">
      <c r="A982" s="3" t="s">
        <v>1199</v>
      </c>
      <c r="B982" s="11" t="s">
        <v>953</v>
      </c>
      <c r="C982" s="11" t="s">
        <v>1140</v>
      </c>
      <c r="D982" s="12">
        <v>59</v>
      </c>
      <c r="E982" s="13">
        <v>31.905579399141626</v>
      </c>
    </row>
    <row r="983" spans="1:5">
      <c r="A983" s="3" t="s">
        <v>1200</v>
      </c>
      <c r="B983" s="11" t="s">
        <v>953</v>
      </c>
      <c r="C983" s="11" t="s">
        <v>1140</v>
      </c>
      <c r="D983" s="12">
        <v>60</v>
      </c>
      <c r="E983" s="13">
        <v>32.446351931330469</v>
      </c>
    </row>
    <row r="984" spans="1:5">
      <c r="A984" s="3" t="s">
        <v>1201</v>
      </c>
      <c r="B984" s="11" t="s">
        <v>5</v>
      </c>
      <c r="C984" s="11" t="s">
        <v>5</v>
      </c>
      <c r="D984" s="3" t="s">
        <v>10</v>
      </c>
      <c r="E984" s="13">
        <v>0</v>
      </c>
    </row>
    <row r="985" spans="1:5">
      <c r="A985" s="3" t="s">
        <v>1202</v>
      </c>
      <c r="B985" s="11" t="s">
        <v>5</v>
      </c>
      <c r="C985" s="11" t="s">
        <v>5</v>
      </c>
      <c r="D985" s="3" t="s">
        <v>22</v>
      </c>
      <c r="E985" s="13">
        <v>0.51502145922746778</v>
      </c>
    </row>
    <row r="986" spans="1:5">
      <c r="A986" s="3" t="s">
        <v>1203</v>
      </c>
      <c r="B986" s="11" t="s">
        <v>5</v>
      </c>
      <c r="C986" s="11" t="s">
        <v>5</v>
      </c>
      <c r="D986" s="3" t="s">
        <v>30</v>
      </c>
      <c r="E986" s="13">
        <v>0.77253218884120178</v>
      </c>
    </row>
    <row r="987" spans="1:5">
      <c r="A987" s="3" t="s">
        <v>1204</v>
      </c>
      <c r="B987" s="11" t="s">
        <v>5</v>
      </c>
      <c r="C987" s="11" t="s">
        <v>5</v>
      </c>
      <c r="D987" s="3" t="s">
        <v>37</v>
      </c>
      <c r="E987" s="13">
        <v>1.0300429184549356</v>
      </c>
    </row>
    <row r="988" spans="1:5">
      <c r="A988" s="3" t="s">
        <v>1205</v>
      </c>
      <c r="B988" s="11" t="s">
        <v>8</v>
      </c>
      <c r="C988" s="11" t="s">
        <v>8</v>
      </c>
      <c r="D988" s="3" t="s">
        <v>16</v>
      </c>
      <c r="E988" s="13">
        <v>0.95278969957081538</v>
      </c>
    </row>
    <row r="989" spans="1:5">
      <c r="A989" s="3" t="s">
        <v>1206</v>
      </c>
      <c r="B989" s="11" t="s">
        <v>8</v>
      </c>
      <c r="C989" s="11" t="s">
        <v>8</v>
      </c>
      <c r="D989" s="3" t="s">
        <v>25</v>
      </c>
      <c r="E989" s="13">
        <v>1.4678111587982834</v>
      </c>
    </row>
    <row r="990" spans="1:5">
      <c r="A990" s="3" t="s">
        <v>1207</v>
      </c>
      <c r="B990" s="11" t="s">
        <v>6</v>
      </c>
      <c r="C990" s="11" t="s">
        <v>6</v>
      </c>
      <c r="D990" s="3" t="s">
        <v>14</v>
      </c>
      <c r="E990" s="13">
        <v>0.48927038626609443</v>
      </c>
    </row>
    <row r="991" spans="1:5">
      <c r="A991" s="3" t="s">
        <v>1208</v>
      </c>
      <c r="B991" s="11" t="s">
        <v>6</v>
      </c>
      <c r="C991" s="11" t="s">
        <v>6</v>
      </c>
      <c r="D991" s="3" t="s">
        <v>23</v>
      </c>
      <c r="E991" s="13">
        <v>0.23175965665236051</v>
      </c>
    </row>
    <row r="992" spans="1:5">
      <c r="A992" s="3" t="s">
        <v>1209</v>
      </c>
      <c r="B992" s="11" t="s">
        <v>6</v>
      </c>
      <c r="C992" s="11" t="s">
        <v>6</v>
      </c>
      <c r="D992" s="3" t="s">
        <v>31</v>
      </c>
      <c r="E992" s="13">
        <v>0</v>
      </c>
    </row>
    <row r="993" spans="1:5">
      <c r="A993" s="3" t="s">
        <v>1210</v>
      </c>
      <c r="B993" s="11" t="s">
        <v>1</v>
      </c>
      <c r="C993" s="11" t="s">
        <v>1</v>
      </c>
      <c r="D993" s="3" t="s">
        <v>10</v>
      </c>
      <c r="E993" s="13">
        <v>0</v>
      </c>
    </row>
    <row r="994" spans="1:5">
      <c r="A994" s="3" t="s">
        <v>1211</v>
      </c>
      <c r="B994" s="11" t="s">
        <v>1</v>
      </c>
      <c r="C994" s="11" t="s">
        <v>1</v>
      </c>
      <c r="D994" s="3" t="s">
        <v>34</v>
      </c>
      <c r="E994" s="13">
        <v>1.2875536480686696</v>
      </c>
    </row>
    <row r="995" spans="1:5">
      <c r="A995" s="3" t="s">
        <v>1212</v>
      </c>
      <c r="B995" s="11" t="s">
        <v>1</v>
      </c>
      <c r="C995" s="11" t="s">
        <v>1</v>
      </c>
      <c r="D995" s="3" t="s">
        <v>18</v>
      </c>
      <c r="E995" s="13">
        <v>0.77253218884120178</v>
      </c>
    </row>
    <row r="996" spans="1:5">
      <c r="A996" s="3" t="s">
        <v>1213</v>
      </c>
      <c r="B996" s="11" t="s">
        <v>1</v>
      </c>
      <c r="C996" s="11" t="s">
        <v>1</v>
      </c>
      <c r="D996" s="3" t="s">
        <v>27</v>
      </c>
      <c r="E996" s="13">
        <v>0.38626609442060089</v>
      </c>
    </row>
    <row r="997" spans="1:5">
      <c r="A997" s="3" t="s">
        <v>1214</v>
      </c>
      <c r="B997" s="11" t="s">
        <v>1215</v>
      </c>
      <c r="C997" s="11" t="s">
        <v>1216</v>
      </c>
      <c r="D997" s="12">
        <v>0</v>
      </c>
      <c r="E997" s="13">
        <v>0</v>
      </c>
    </row>
    <row r="998" spans="1:5">
      <c r="A998" s="3" t="s">
        <v>1217</v>
      </c>
      <c r="B998" s="11" t="s">
        <v>1215</v>
      </c>
      <c r="C998" s="11" t="s">
        <v>1216</v>
      </c>
      <c r="D998" s="12">
        <v>1</v>
      </c>
      <c r="E998" s="13">
        <v>0.35793991416309012</v>
      </c>
    </row>
    <row r="999" spans="1:5">
      <c r="A999" s="3" t="s">
        <v>1218</v>
      </c>
      <c r="B999" s="11" t="s">
        <v>1215</v>
      </c>
      <c r="C999" s="11" t="s">
        <v>1216</v>
      </c>
      <c r="D999" s="12">
        <v>2</v>
      </c>
      <c r="E999" s="13">
        <v>0.71587982832618025</v>
      </c>
    </row>
    <row r="1000" spans="1:5">
      <c r="A1000" s="3" t="s">
        <v>1219</v>
      </c>
      <c r="B1000" s="11" t="s">
        <v>1215</v>
      </c>
      <c r="C1000" s="11" t="s">
        <v>1216</v>
      </c>
      <c r="D1000" s="12">
        <v>3</v>
      </c>
      <c r="E1000" s="13">
        <v>1.0738197424892704</v>
      </c>
    </row>
    <row r="1001" spans="1:5">
      <c r="A1001" s="3" t="s">
        <v>1220</v>
      </c>
      <c r="B1001" s="11" t="s">
        <v>1215</v>
      </c>
      <c r="C1001" s="11" t="s">
        <v>1216</v>
      </c>
      <c r="D1001" s="12">
        <v>4</v>
      </c>
      <c r="E1001" s="13">
        <v>1.4317596566523605</v>
      </c>
    </row>
    <row r="1002" spans="1:5">
      <c r="A1002" s="3" t="s">
        <v>1221</v>
      </c>
      <c r="B1002" s="11" t="s">
        <v>1215</v>
      </c>
      <c r="C1002" s="11" t="s">
        <v>1216</v>
      </c>
      <c r="D1002" s="12">
        <v>5</v>
      </c>
      <c r="E1002" s="13">
        <v>1.7896995708154504</v>
      </c>
    </row>
    <row r="1003" spans="1:5">
      <c r="A1003" s="3" t="s">
        <v>1222</v>
      </c>
      <c r="B1003" s="11" t="s">
        <v>1215</v>
      </c>
      <c r="C1003" s="11" t="s">
        <v>1216</v>
      </c>
      <c r="D1003" s="12">
        <v>6</v>
      </c>
      <c r="E1003" s="13">
        <v>2.1476394849785407</v>
      </c>
    </row>
    <row r="1004" spans="1:5">
      <c r="A1004" s="3" t="s">
        <v>1223</v>
      </c>
      <c r="B1004" s="11" t="s">
        <v>1215</v>
      </c>
      <c r="C1004" s="11" t="s">
        <v>1216</v>
      </c>
      <c r="D1004" s="12">
        <v>7</v>
      </c>
      <c r="E1004" s="13">
        <v>2.5055793991416304</v>
      </c>
    </row>
    <row r="1005" spans="1:5">
      <c r="A1005" s="3" t="s">
        <v>1224</v>
      </c>
      <c r="B1005" s="11" t="s">
        <v>1215</v>
      </c>
      <c r="C1005" s="11" t="s">
        <v>1216</v>
      </c>
      <c r="D1005" s="12">
        <v>8</v>
      </c>
      <c r="E1005" s="13">
        <v>2.863519313304721</v>
      </c>
    </row>
    <row r="1006" spans="1:5">
      <c r="A1006" s="3" t="s">
        <v>1225</v>
      </c>
      <c r="B1006" s="11" t="s">
        <v>1215</v>
      </c>
      <c r="C1006" s="11" t="s">
        <v>1216</v>
      </c>
      <c r="D1006" s="12">
        <v>9</v>
      </c>
      <c r="E1006" s="13">
        <v>3.2214592274678111</v>
      </c>
    </row>
    <row r="1007" spans="1:5">
      <c r="A1007" s="3" t="s">
        <v>1226</v>
      </c>
      <c r="B1007" s="11" t="s">
        <v>1215</v>
      </c>
      <c r="C1007" s="11" t="s">
        <v>1216</v>
      </c>
      <c r="D1007" s="12">
        <v>10</v>
      </c>
      <c r="E1007" s="13">
        <v>3.5793991416309008</v>
      </c>
    </row>
    <row r="1008" spans="1:5">
      <c r="A1008" s="3" t="s">
        <v>1227</v>
      </c>
      <c r="B1008" s="11" t="s">
        <v>1215</v>
      </c>
      <c r="C1008" s="11" t="s">
        <v>1216</v>
      </c>
      <c r="D1008" s="12">
        <v>11</v>
      </c>
      <c r="E1008" s="13">
        <v>3.9373390557939913</v>
      </c>
    </row>
    <row r="1009" spans="1:5">
      <c r="A1009" s="3" t="s">
        <v>1228</v>
      </c>
      <c r="B1009" s="11" t="s">
        <v>1215</v>
      </c>
      <c r="C1009" s="11" t="s">
        <v>1216</v>
      </c>
      <c r="D1009" s="12">
        <v>12</v>
      </c>
      <c r="E1009" s="13">
        <v>4.2952789699570815</v>
      </c>
    </row>
    <row r="1010" spans="1:5">
      <c r="A1010" s="3" t="s">
        <v>1229</v>
      </c>
      <c r="B1010" s="11" t="s">
        <v>1215</v>
      </c>
      <c r="C1010" s="11" t="s">
        <v>1216</v>
      </c>
      <c r="D1010" s="12">
        <v>13</v>
      </c>
      <c r="E1010" s="13">
        <v>4.6532188841201725</v>
      </c>
    </row>
    <row r="1011" spans="1:5">
      <c r="A1011" s="3" t="s">
        <v>1230</v>
      </c>
      <c r="B1011" s="11" t="s">
        <v>1215</v>
      </c>
      <c r="C1011" s="11" t="s">
        <v>1216</v>
      </c>
      <c r="D1011" s="12">
        <v>14</v>
      </c>
      <c r="E1011" s="13">
        <v>5.0111587982832608</v>
      </c>
    </row>
    <row r="1012" spans="1:5">
      <c r="A1012" s="3" t="s">
        <v>1231</v>
      </c>
      <c r="B1012" s="11" t="s">
        <v>1215</v>
      </c>
      <c r="C1012" s="11" t="s">
        <v>1216</v>
      </c>
      <c r="D1012" s="12">
        <v>15</v>
      </c>
      <c r="E1012" s="13">
        <v>5.3690987124463501</v>
      </c>
    </row>
    <row r="1013" spans="1:5">
      <c r="A1013" s="3" t="s">
        <v>1232</v>
      </c>
      <c r="B1013" s="11" t="s">
        <v>1215</v>
      </c>
      <c r="C1013" s="11" t="s">
        <v>1216</v>
      </c>
      <c r="D1013" s="12">
        <v>16</v>
      </c>
      <c r="E1013" s="13">
        <v>5.727038626609442</v>
      </c>
    </row>
    <row r="1014" spans="1:5">
      <c r="A1014" s="3" t="s">
        <v>1233</v>
      </c>
      <c r="B1014" s="11" t="s">
        <v>1215</v>
      </c>
      <c r="C1014" s="11" t="s">
        <v>1216</v>
      </c>
      <c r="D1014" s="12">
        <v>17</v>
      </c>
      <c r="E1014" s="13">
        <v>6.084978540772533</v>
      </c>
    </row>
    <row r="1015" spans="1:5">
      <c r="A1015" s="3" t="s">
        <v>1234</v>
      </c>
      <c r="B1015" s="11" t="s">
        <v>1215</v>
      </c>
      <c r="C1015" s="11" t="s">
        <v>1216</v>
      </c>
      <c r="D1015" s="12">
        <v>18</v>
      </c>
      <c r="E1015" s="13">
        <v>6.4429184549356222</v>
      </c>
    </row>
    <row r="1016" spans="1:5">
      <c r="A1016" s="3" t="s">
        <v>1235</v>
      </c>
      <c r="B1016" s="11" t="s">
        <v>1215</v>
      </c>
      <c r="C1016" s="11" t="s">
        <v>1216</v>
      </c>
      <c r="D1016" s="12">
        <v>19</v>
      </c>
      <c r="E1016" s="13">
        <v>6.8008583690987114</v>
      </c>
    </row>
    <row r="1017" spans="1:5">
      <c r="A1017" s="3" t="s">
        <v>1236</v>
      </c>
      <c r="B1017" s="11" t="s">
        <v>1215</v>
      </c>
      <c r="C1017" s="11" t="s">
        <v>1216</v>
      </c>
      <c r="D1017" s="12">
        <v>20</v>
      </c>
      <c r="E1017" s="13">
        <v>7.1587982832618016</v>
      </c>
    </row>
    <row r="1018" spans="1:5">
      <c r="A1018" s="3" t="s">
        <v>1237</v>
      </c>
      <c r="B1018" s="11" t="s">
        <v>1215</v>
      </c>
      <c r="C1018" s="11" t="s">
        <v>1216</v>
      </c>
      <c r="D1018" s="12">
        <v>21</v>
      </c>
      <c r="E1018" s="13">
        <v>7.5167381974248917</v>
      </c>
    </row>
    <row r="1019" spans="1:5">
      <c r="A1019" s="3" t="s">
        <v>1238</v>
      </c>
      <c r="B1019" s="11" t="s">
        <v>1215</v>
      </c>
      <c r="C1019" s="11" t="s">
        <v>1216</v>
      </c>
      <c r="D1019" s="12">
        <v>22</v>
      </c>
      <c r="E1019" s="13">
        <v>7.8746781115879827</v>
      </c>
    </row>
    <row r="1020" spans="1:5">
      <c r="A1020" s="3" t="s">
        <v>1239</v>
      </c>
      <c r="B1020" s="11" t="s">
        <v>1215</v>
      </c>
      <c r="C1020" s="11" t="s">
        <v>1216</v>
      </c>
      <c r="D1020" s="12">
        <v>23</v>
      </c>
      <c r="E1020" s="13">
        <v>8.2326180257510728</v>
      </c>
    </row>
    <row r="1021" spans="1:5">
      <c r="A1021" s="3" t="s">
        <v>1240</v>
      </c>
      <c r="B1021" s="11" t="s">
        <v>1215</v>
      </c>
      <c r="C1021" s="11" t="s">
        <v>1216</v>
      </c>
      <c r="D1021" s="12">
        <v>24</v>
      </c>
      <c r="E1021" s="13">
        <v>8.5905579399141629</v>
      </c>
    </row>
    <row r="1022" spans="1:5">
      <c r="A1022" s="3" t="s">
        <v>1241</v>
      </c>
      <c r="B1022" s="11" t="s">
        <v>1215</v>
      </c>
      <c r="C1022" s="11" t="s">
        <v>1216</v>
      </c>
      <c r="D1022" s="12">
        <v>25</v>
      </c>
      <c r="E1022" s="13">
        <v>8.9484978540772531</v>
      </c>
    </row>
    <row r="1023" spans="1:5">
      <c r="A1023" s="3" t="s">
        <v>1242</v>
      </c>
      <c r="B1023" s="11" t="s">
        <v>1215</v>
      </c>
      <c r="C1023" s="11" t="s">
        <v>1216</v>
      </c>
      <c r="D1023" s="12">
        <v>26</v>
      </c>
      <c r="E1023" s="13">
        <v>9.306437768240345</v>
      </c>
    </row>
    <row r="1024" spans="1:5">
      <c r="A1024" s="3" t="s">
        <v>1243</v>
      </c>
      <c r="B1024" s="11" t="s">
        <v>1215</v>
      </c>
      <c r="C1024" s="11" t="s">
        <v>1216</v>
      </c>
      <c r="D1024" s="12">
        <v>27</v>
      </c>
      <c r="E1024" s="13">
        <v>9.6643776824034315</v>
      </c>
    </row>
    <row r="1025" spans="1:5">
      <c r="A1025" s="3" t="s">
        <v>1244</v>
      </c>
      <c r="B1025" s="11" t="s">
        <v>1215</v>
      </c>
      <c r="C1025" s="11" t="s">
        <v>1216</v>
      </c>
      <c r="D1025" s="12">
        <v>28</v>
      </c>
      <c r="E1025" s="13">
        <v>10.022317596566522</v>
      </c>
    </row>
    <row r="1026" spans="1:5">
      <c r="A1026" s="3" t="s">
        <v>1245</v>
      </c>
      <c r="B1026" s="11" t="s">
        <v>1215</v>
      </c>
      <c r="C1026" s="11" t="s">
        <v>1216</v>
      </c>
      <c r="D1026" s="12">
        <v>29</v>
      </c>
      <c r="E1026" s="13">
        <v>10.380257510729612</v>
      </c>
    </row>
    <row r="1027" spans="1:5">
      <c r="A1027" s="3" t="s">
        <v>1246</v>
      </c>
      <c r="B1027" s="11" t="s">
        <v>1215</v>
      </c>
      <c r="C1027" s="11" t="s">
        <v>1216</v>
      </c>
      <c r="D1027" s="12">
        <v>30</v>
      </c>
      <c r="E1027" s="13">
        <v>10.7381974248927</v>
      </c>
    </row>
    <row r="1028" spans="1:5">
      <c r="A1028" s="3" t="s">
        <v>1247</v>
      </c>
      <c r="B1028" s="11" t="s">
        <v>1215</v>
      </c>
      <c r="C1028" s="11" t="s">
        <v>1248</v>
      </c>
      <c r="D1028" s="12">
        <v>0</v>
      </c>
      <c r="E1028" s="13">
        <v>0</v>
      </c>
    </row>
    <row r="1029" spans="1:5">
      <c r="A1029" s="3" t="s">
        <v>1249</v>
      </c>
      <c r="B1029" s="11" t="s">
        <v>1215</v>
      </c>
      <c r="C1029" s="11" t="s">
        <v>1248</v>
      </c>
      <c r="D1029" s="12">
        <v>1</v>
      </c>
      <c r="E1029" s="13">
        <v>0.35793991416309012</v>
      </c>
    </row>
    <row r="1030" spans="1:5">
      <c r="A1030" s="3" t="s">
        <v>1250</v>
      </c>
      <c r="B1030" s="11" t="s">
        <v>1215</v>
      </c>
      <c r="C1030" s="11" t="s">
        <v>1248</v>
      </c>
      <c r="D1030" s="12">
        <v>2</v>
      </c>
      <c r="E1030" s="13">
        <v>0.71587982832618025</v>
      </c>
    </row>
    <row r="1031" spans="1:5">
      <c r="A1031" s="3" t="s">
        <v>1251</v>
      </c>
      <c r="B1031" s="11" t="s">
        <v>1215</v>
      </c>
      <c r="C1031" s="11" t="s">
        <v>1248</v>
      </c>
      <c r="D1031" s="12">
        <v>3</v>
      </c>
      <c r="E1031" s="13">
        <v>1.0738197424892704</v>
      </c>
    </row>
    <row r="1032" spans="1:5">
      <c r="A1032" s="3" t="s">
        <v>1252</v>
      </c>
      <c r="B1032" s="11" t="s">
        <v>1215</v>
      </c>
      <c r="C1032" s="11" t="s">
        <v>1248</v>
      </c>
      <c r="D1032" s="12">
        <v>4</v>
      </c>
      <c r="E1032" s="13">
        <v>1.4317596566523605</v>
      </c>
    </row>
    <row r="1033" spans="1:5">
      <c r="A1033" s="3" t="s">
        <v>1253</v>
      </c>
      <c r="B1033" s="11" t="s">
        <v>1215</v>
      </c>
      <c r="C1033" s="11" t="s">
        <v>1248</v>
      </c>
      <c r="D1033" s="12">
        <v>5</v>
      </c>
      <c r="E1033" s="13">
        <v>1.7896995708154504</v>
      </c>
    </row>
    <row r="1034" spans="1:5">
      <c r="A1034" s="3" t="s">
        <v>1254</v>
      </c>
      <c r="B1034" s="11" t="s">
        <v>1215</v>
      </c>
      <c r="C1034" s="11" t="s">
        <v>1248</v>
      </c>
      <c r="D1034" s="12">
        <v>6</v>
      </c>
      <c r="E1034" s="13">
        <v>2.1476394849785407</v>
      </c>
    </row>
    <row r="1035" spans="1:5">
      <c r="A1035" s="3" t="s">
        <v>1255</v>
      </c>
      <c r="B1035" s="11" t="s">
        <v>1215</v>
      </c>
      <c r="C1035" s="11" t="s">
        <v>1248</v>
      </c>
      <c r="D1035" s="12">
        <v>7</v>
      </c>
      <c r="E1035" s="13">
        <v>2.5055793991416304</v>
      </c>
    </row>
    <row r="1036" spans="1:5">
      <c r="A1036" s="3" t="s">
        <v>1256</v>
      </c>
      <c r="B1036" s="11" t="s">
        <v>1215</v>
      </c>
      <c r="C1036" s="11" t="s">
        <v>1248</v>
      </c>
      <c r="D1036" s="12">
        <v>8</v>
      </c>
      <c r="E1036" s="13">
        <v>2.863519313304721</v>
      </c>
    </row>
    <row r="1037" spans="1:5">
      <c r="A1037" s="3" t="s">
        <v>1257</v>
      </c>
      <c r="B1037" s="11" t="s">
        <v>1215</v>
      </c>
      <c r="C1037" s="11" t="s">
        <v>1248</v>
      </c>
      <c r="D1037" s="12">
        <v>9</v>
      </c>
      <c r="E1037" s="13">
        <v>3.2214592274678111</v>
      </c>
    </row>
    <row r="1038" spans="1:5">
      <c r="A1038" s="3" t="s">
        <v>1258</v>
      </c>
      <c r="B1038" s="11" t="s">
        <v>1215</v>
      </c>
      <c r="C1038" s="11" t="s">
        <v>1248</v>
      </c>
      <c r="D1038" s="12">
        <v>10</v>
      </c>
      <c r="E1038" s="13">
        <v>3.5793991416309008</v>
      </c>
    </row>
    <row r="1039" spans="1:5">
      <c r="A1039" s="3" t="s">
        <v>1259</v>
      </c>
      <c r="B1039" s="11" t="s">
        <v>1215</v>
      </c>
      <c r="C1039" s="11" t="s">
        <v>1248</v>
      </c>
      <c r="D1039" s="12">
        <v>11</v>
      </c>
      <c r="E1039" s="13">
        <v>3.9373390557939913</v>
      </c>
    </row>
    <row r="1040" spans="1:5">
      <c r="A1040" s="3" t="s">
        <v>1260</v>
      </c>
      <c r="B1040" s="11" t="s">
        <v>1215</v>
      </c>
      <c r="C1040" s="11" t="s">
        <v>1248</v>
      </c>
      <c r="D1040" s="12">
        <v>12</v>
      </c>
      <c r="E1040" s="13">
        <v>4.2952789699570815</v>
      </c>
    </row>
    <row r="1041" spans="1:5">
      <c r="A1041" s="3" t="s">
        <v>1261</v>
      </c>
      <c r="B1041" s="11" t="s">
        <v>1215</v>
      </c>
      <c r="C1041" s="11" t="s">
        <v>1248</v>
      </c>
      <c r="D1041" s="12">
        <v>13</v>
      </c>
      <c r="E1041" s="13">
        <v>4.6532188841201725</v>
      </c>
    </row>
    <row r="1042" spans="1:5">
      <c r="A1042" s="3" t="s">
        <v>1262</v>
      </c>
      <c r="B1042" s="11" t="s">
        <v>1215</v>
      </c>
      <c r="C1042" s="11" t="s">
        <v>1248</v>
      </c>
      <c r="D1042" s="12">
        <v>14</v>
      </c>
      <c r="E1042" s="13">
        <v>5.0111587982832608</v>
      </c>
    </row>
    <row r="1043" spans="1:5">
      <c r="A1043" s="3" t="s">
        <v>1263</v>
      </c>
      <c r="B1043" s="11" t="s">
        <v>1215</v>
      </c>
      <c r="C1043" s="11" t="s">
        <v>1248</v>
      </c>
      <c r="D1043" s="12">
        <v>15</v>
      </c>
      <c r="E1043" s="13">
        <v>5.3690987124463501</v>
      </c>
    </row>
    <row r="1044" spans="1:5">
      <c r="A1044" s="3" t="s">
        <v>1264</v>
      </c>
      <c r="B1044" s="11" t="s">
        <v>1215</v>
      </c>
      <c r="C1044" s="11" t="s">
        <v>1248</v>
      </c>
      <c r="D1044" s="12">
        <v>16</v>
      </c>
      <c r="E1044" s="13">
        <v>5.727038626609442</v>
      </c>
    </row>
    <row r="1045" spans="1:5">
      <c r="A1045" s="3" t="s">
        <v>1265</v>
      </c>
      <c r="B1045" s="11" t="s">
        <v>1215</v>
      </c>
      <c r="C1045" s="11" t="s">
        <v>1248</v>
      </c>
      <c r="D1045" s="12">
        <v>17</v>
      </c>
      <c r="E1045" s="13">
        <v>6.084978540772533</v>
      </c>
    </row>
    <row r="1046" spans="1:5">
      <c r="A1046" s="3" t="s">
        <v>1266</v>
      </c>
      <c r="B1046" s="11" t="s">
        <v>1215</v>
      </c>
      <c r="C1046" s="11" t="s">
        <v>1248</v>
      </c>
      <c r="D1046" s="12">
        <v>18</v>
      </c>
      <c r="E1046" s="13">
        <v>6.4429184549356222</v>
      </c>
    </row>
    <row r="1047" spans="1:5">
      <c r="A1047" s="3" t="s">
        <v>1267</v>
      </c>
      <c r="B1047" s="11" t="s">
        <v>1215</v>
      </c>
      <c r="C1047" s="11" t="s">
        <v>1248</v>
      </c>
      <c r="D1047" s="12">
        <v>19</v>
      </c>
      <c r="E1047" s="13">
        <v>6.8008583690987114</v>
      </c>
    </row>
    <row r="1048" spans="1:5">
      <c r="A1048" s="3" t="s">
        <v>1268</v>
      </c>
      <c r="B1048" s="11" t="s">
        <v>1215</v>
      </c>
      <c r="C1048" s="11" t="s">
        <v>1248</v>
      </c>
      <c r="D1048" s="12">
        <v>20</v>
      </c>
      <c r="E1048" s="13">
        <v>7.1587982832618016</v>
      </c>
    </row>
    <row r="1049" spans="1:5">
      <c r="A1049" s="3" t="s">
        <v>1269</v>
      </c>
      <c r="B1049" s="11" t="s">
        <v>1215</v>
      </c>
      <c r="C1049" s="11" t="s">
        <v>1248</v>
      </c>
      <c r="D1049" s="12">
        <v>21</v>
      </c>
      <c r="E1049" s="13">
        <v>7.5167381974248917</v>
      </c>
    </row>
    <row r="1050" spans="1:5">
      <c r="A1050" s="3" t="s">
        <v>1270</v>
      </c>
      <c r="B1050" s="11" t="s">
        <v>1215</v>
      </c>
      <c r="C1050" s="11" t="s">
        <v>1248</v>
      </c>
      <c r="D1050" s="12">
        <v>22</v>
      </c>
      <c r="E1050" s="13">
        <v>7.8746781115879827</v>
      </c>
    </row>
    <row r="1051" spans="1:5">
      <c r="A1051" s="3" t="s">
        <v>1271</v>
      </c>
      <c r="B1051" s="11" t="s">
        <v>1215</v>
      </c>
      <c r="C1051" s="11" t="s">
        <v>1248</v>
      </c>
      <c r="D1051" s="12">
        <v>23</v>
      </c>
      <c r="E1051" s="13">
        <v>8.2326180257510728</v>
      </c>
    </row>
    <row r="1052" spans="1:5">
      <c r="A1052" s="3" t="s">
        <v>1272</v>
      </c>
      <c r="B1052" s="11" t="s">
        <v>1215</v>
      </c>
      <c r="C1052" s="11" t="s">
        <v>1248</v>
      </c>
      <c r="D1052" s="12">
        <v>24</v>
      </c>
      <c r="E1052" s="13">
        <v>8.5905579399141629</v>
      </c>
    </row>
    <row r="1053" spans="1:5">
      <c r="A1053" s="3" t="s">
        <v>1273</v>
      </c>
      <c r="B1053" s="11" t="s">
        <v>1215</v>
      </c>
      <c r="C1053" s="11" t="s">
        <v>1248</v>
      </c>
      <c r="D1053" s="12">
        <v>25</v>
      </c>
      <c r="E1053" s="13">
        <v>8.9484978540772531</v>
      </c>
    </row>
    <row r="1054" spans="1:5">
      <c r="A1054" s="3" t="s">
        <v>1274</v>
      </c>
      <c r="B1054" s="11" t="s">
        <v>1215</v>
      </c>
      <c r="C1054" s="11" t="s">
        <v>1248</v>
      </c>
      <c r="D1054" s="12">
        <v>26</v>
      </c>
      <c r="E1054" s="13">
        <v>9.306437768240345</v>
      </c>
    </row>
    <row r="1055" spans="1:5">
      <c r="A1055" s="3" t="s">
        <v>1275</v>
      </c>
      <c r="B1055" s="11" t="s">
        <v>1215</v>
      </c>
      <c r="C1055" s="11" t="s">
        <v>1248</v>
      </c>
      <c r="D1055" s="12">
        <v>27</v>
      </c>
      <c r="E1055" s="13">
        <v>9.6643776824034315</v>
      </c>
    </row>
    <row r="1056" spans="1:5">
      <c r="A1056" s="3" t="s">
        <v>1276</v>
      </c>
      <c r="B1056" s="11" t="s">
        <v>1215</v>
      </c>
      <c r="C1056" s="11" t="s">
        <v>1248</v>
      </c>
      <c r="D1056" s="12">
        <v>28</v>
      </c>
      <c r="E1056" s="13">
        <v>10.022317596566522</v>
      </c>
    </row>
    <row r="1057" spans="1:5">
      <c r="A1057" s="3" t="s">
        <v>1277</v>
      </c>
      <c r="B1057" s="11" t="s">
        <v>1215</v>
      </c>
      <c r="C1057" s="11" t="s">
        <v>1248</v>
      </c>
      <c r="D1057" s="12">
        <v>29</v>
      </c>
      <c r="E1057" s="13">
        <v>10.380257510729612</v>
      </c>
    </row>
    <row r="1058" spans="1:5">
      <c r="A1058" s="3" t="s">
        <v>1278</v>
      </c>
      <c r="B1058" s="11" t="s">
        <v>1215</v>
      </c>
      <c r="C1058" s="11" t="s">
        <v>1248</v>
      </c>
      <c r="D1058" s="12">
        <v>30</v>
      </c>
      <c r="E1058" s="13">
        <v>10.7381974248927</v>
      </c>
    </row>
    <row r="1059" spans="1:5">
      <c r="A1059" s="3" t="s">
        <v>1279</v>
      </c>
      <c r="B1059" s="11" t="s">
        <v>1215</v>
      </c>
      <c r="C1059" s="11" t="s">
        <v>1280</v>
      </c>
      <c r="D1059" s="12">
        <v>0</v>
      </c>
      <c r="E1059" s="13">
        <v>0</v>
      </c>
    </row>
    <row r="1060" spans="1:5">
      <c r="A1060" s="3" t="s">
        <v>1281</v>
      </c>
      <c r="B1060" s="11" t="s">
        <v>1215</v>
      </c>
      <c r="C1060" s="11" t="s">
        <v>1280</v>
      </c>
      <c r="D1060" s="12">
        <v>1</v>
      </c>
      <c r="E1060" s="13">
        <v>9.6695278969957101</v>
      </c>
    </row>
    <row r="1061" spans="1:5">
      <c r="A1061" s="3" t="s">
        <v>1282</v>
      </c>
      <c r="B1061" s="11" t="s">
        <v>1215</v>
      </c>
      <c r="C1061" s="11" t="s">
        <v>1280</v>
      </c>
      <c r="D1061" s="12">
        <v>2</v>
      </c>
      <c r="E1061" s="13">
        <v>10.042918454935624</v>
      </c>
    </row>
    <row r="1062" spans="1:5">
      <c r="A1062" s="3" t="s">
        <v>1283</v>
      </c>
      <c r="B1062" s="11" t="s">
        <v>1215</v>
      </c>
      <c r="C1062" s="11" t="s">
        <v>1280</v>
      </c>
      <c r="D1062" s="12">
        <v>3</v>
      </c>
      <c r="E1062" s="13">
        <v>10.416309012875535</v>
      </c>
    </row>
    <row r="1063" spans="1:5">
      <c r="A1063" s="3" t="s">
        <v>1284</v>
      </c>
      <c r="B1063" s="11" t="s">
        <v>1215</v>
      </c>
      <c r="C1063" s="11" t="s">
        <v>1280</v>
      </c>
      <c r="D1063" s="12">
        <v>4</v>
      </c>
      <c r="E1063" s="13">
        <v>10.789699570815451</v>
      </c>
    </row>
    <row r="1064" spans="1:5">
      <c r="A1064" s="3" t="s">
        <v>1285</v>
      </c>
      <c r="B1064" s="11" t="s">
        <v>1215</v>
      </c>
      <c r="C1064" s="11" t="s">
        <v>1280</v>
      </c>
      <c r="D1064" s="12">
        <v>5</v>
      </c>
      <c r="E1064" s="13">
        <v>11.163090128755364</v>
      </c>
    </row>
    <row r="1065" spans="1:5">
      <c r="A1065" s="3" t="s">
        <v>1286</v>
      </c>
      <c r="B1065" s="11" t="s">
        <v>1215</v>
      </c>
      <c r="C1065" s="11" t="s">
        <v>1280</v>
      </c>
      <c r="D1065" s="12">
        <v>6</v>
      </c>
      <c r="E1065" s="13">
        <v>11.536480686695279</v>
      </c>
    </row>
    <row r="1066" spans="1:5">
      <c r="A1066" s="3" t="s">
        <v>1287</v>
      </c>
      <c r="B1066" s="11" t="s">
        <v>1215</v>
      </c>
      <c r="C1066" s="11" t="s">
        <v>1280</v>
      </c>
      <c r="D1066" s="12">
        <v>7</v>
      </c>
      <c r="E1066" s="13">
        <v>11.909871244635193</v>
      </c>
    </row>
    <row r="1067" spans="1:5">
      <c r="A1067" s="3" t="s">
        <v>1288</v>
      </c>
      <c r="B1067" s="11" t="s">
        <v>1215</v>
      </c>
      <c r="C1067" s="11" t="s">
        <v>1280</v>
      </c>
      <c r="D1067" s="12">
        <v>8</v>
      </c>
      <c r="E1067" s="13">
        <v>12.283261802575108</v>
      </c>
    </row>
    <row r="1068" spans="1:5">
      <c r="A1068" s="3" t="s">
        <v>1289</v>
      </c>
      <c r="B1068" s="11" t="s">
        <v>1215</v>
      </c>
      <c r="C1068" s="11" t="s">
        <v>1280</v>
      </c>
      <c r="D1068" s="12">
        <v>9</v>
      </c>
      <c r="E1068" s="13">
        <v>12.656652360515022</v>
      </c>
    </row>
    <row r="1069" spans="1:5">
      <c r="A1069" s="3" t="s">
        <v>1290</v>
      </c>
      <c r="B1069" s="11" t="s">
        <v>1215</v>
      </c>
      <c r="C1069" s="11" t="s">
        <v>1280</v>
      </c>
      <c r="D1069" s="12">
        <v>10</v>
      </c>
      <c r="E1069" s="13">
        <v>13.030042918454935</v>
      </c>
    </row>
    <row r="1070" spans="1:5">
      <c r="A1070" s="3" t="s">
        <v>1291</v>
      </c>
      <c r="B1070" s="11" t="s">
        <v>1215</v>
      </c>
      <c r="C1070" s="11" t="s">
        <v>1280</v>
      </c>
      <c r="D1070" s="12">
        <v>11</v>
      </c>
      <c r="E1070" s="13">
        <v>13.403433476394849</v>
      </c>
    </row>
    <row r="1071" spans="1:5">
      <c r="A1071" s="3" t="s">
        <v>1292</v>
      </c>
      <c r="B1071" s="11" t="s">
        <v>1215</v>
      </c>
      <c r="C1071" s="11" t="s">
        <v>1280</v>
      </c>
      <c r="D1071" s="12">
        <v>12</v>
      </c>
      <c r="E1071" s="13">
        <v>13.776824034334764</v>
      </c>
    </row>
    <row r="1072" spans="1:5">
      <c r="A1072" s="3" t="s">
        <v>1293</v>
      </c>
      <c r="B1072" s="11" t="s">
        <v>1215</v>
      </c>
      <c r="C1072" s="11" t="s">
        <v>1280</v>
      </c>
      <c r="D1072" s="12">
        <v>13</v>
      </c>
      <c r="E1072" s="13">
        <v>14.150214592274677</v>
      </c>
    </row>
    <row r="1073" spans="1:5">
      <c r="A1073" s="3" t="s">
        <v>1294</v>
      </c>
      <c r="B1073" s="11" t="s">
        <v>1215</v>
      </c>
      <c r="C1073" s="11" t="s">
        <v>1280</v>
      </c>
      <c r="D1073" s="12">
        <v>14</v>
      </c>
      <c r="E1073" s="13">
        <v>14.523605150214594</v>
      </c>
    </row>
    <row r="1074" spans="1:5">
      <c r="A1074" s="3" t="s">
        <v>1295</v>
      </c>
      <c r="B1074" s="11" t="s">
        <v>1215</v>
      </c>
      <c r="C1074" s="11" t="s">
        <v>1280</v>
      </c>
      <c r="D1074" s="12">
        <v>15</v>
      </c>
      <c r="E1074" s="13">
        <v>14.896995708154508</v>
      </c>
    </row>
    <row r="1075" spans="1:5">
      <c r="A1075" s="3" t="s">
        <v>1296</v>
      </c>
      <c r="B1075" s="11" t="s">
        <v>1215</v>
      </c>
      <c r="C1075" s="11" t="s">
        <v>1280</v>
      </c>
      <c r="D1075" s="12">
        <v>16</v>
      </c>
      <c r="E1075" s="13">
        <v>15.270386266094421</v>
      </c>
    </row>
    <row r="1076" spans="1:5">
      <c r="A1076" s="3" t="s">
        <v>1297</v>
      </c>
      <c r="B1076" s="11" t="s">
        <v>1215</v>
      </c>
      <c r="C1076" s="11" t="s">
        <v>1280</v>
      </c>
      <c r="D1076" s="12">
        <v>17</v>
      </c>
      <c r="E1076" s="13">
        <v>15.643776824034335</v>
      </c>
    </row>
    <row r="1077" spans="1:5">
      <c r="A1077" s="3" t="s">
        <v>1298</v>
      </c>
      <c r="B1077" s="11" t="s">
        <v>1215</v>
      </c>
      <c r="C1077" s="11" t="s">
        <v>1280</v>
      </c>
      <c r="D1077" s="12">
        <v>18</v>
      </c>
      <c r="E1077" s="13">
        <v>16.01716738197425</v>
      </c>
    </row>
    <row r="1078" spans="1:5">
      <c r="A1078" s="3" t="s">
        <v>1299</v>
      </c>
      <c r="B1078" s="11" t="s">
        <v>1215</v>
      </c>
      <c r="C1078" s="11" t="s">
        <v>1280</v>
      </c>
      <c r="D1078" s="12">
        <v>19</v>
      </c>
      <c r="E1078" s="13">
        <v>16.390557939914164</v>
      </c>
    </row>
    <row r="1079" spans="1:5">
      <c r="A1079" s="3" t="s">
        <v>1300</v>
      </c>
      <c r="B1079" s="11" t="s">
        <v>1215</v>
      </c>
      <c r="C1079" s="11" t="s">
        <v>1280</v>
      </c>
      <c r="D1079" s="12">
        <v>20</v>
      </c>
      <c r="E1079" s="13">
        <v>16.763948497854077</v>
      </c>
    </row>
    <row r="1080" spans="1:5">
      <c r="A1080" s="3" t="s">
        <v>1301</v>
      </c>
      <c r="B1080" s="11" t="s">
        <v>1215</v>
      </c>
      <c r="C1080" s="11" t="s">
        <v>1280</v>
      </c>
      <c r="D1080" s="12">
        <v>21</v>
      </c>
      <c r="E1080" s="13">
        <v>17.137339055793991</v>
      </c>
    </row>
    <row r="1081" spans="1:5">
      <c r="A1081" s="3" t="s">
        <v>1302</v>
      </c>
      <c r="B1081" s="11" t="s">
        <v>1215</v>
      </c>
      <c r="C1081" s="11" t="s">
        <v>1280</v>
      </c>
      <c r="D1081" s="12">
        <v>22</v>
      </c>
      <c r="E1081" s="13">
        <v>17.510729613733908</v>
      </c>
    </row>
    <row r="1082" spans="1:5">
      <c r="A1082" s="3" t="s">
        <v>1303</v>
      </c>
      <c r="B1082" s="11" t="s">
        <v>1215</v>
      </c>
      <c r="C1082" s="11" t="s">
        <v>1280</v>
      </c>
      <c r="D1082" s="12">
        <v>23</v>
      </c>
      <c r="E1082" s="13">
        <v>17.884120171673821</v>
      </c>
    </row>
    <row r="1083" spans="1:5">
      <c r="A1083" s="3" t="s">
        <v>1304</v>
      </c>
      <c r="B1083" s="11" t="s">
        <v>1215</v>
      </c>
      <c r="C1083" s="11" t="s">
        <v>1280</v>
      </c>
      <c r="D1083" s="12">
        <v>24</v>
      </c>
      <c r="E1083" s="13">
        <v>18.257510729613735</v>
      </c>
    </row>
    <row r="1084" spans="1:5">
      <c r="A1084" s="3" t="s">
        <v>1305</v>
      </c>
      <c r="B1084" s="11" t="s">
        <v>1215</v>
      </c>
      <c r="C1084" s="11" t="s">
        <v>1280</v>
      </c>
      <c r="D1084" s="12">
        <v>25</v>
      </c>
      <c r="E1084" s="13">
        <v>18.630901287553645</v>
      </c>
    </row>
    <row r="1085" spans="1:5">
      <c r="A1085" s="3" t="s">
        <v>1306</v>
      </c>
      <c r="B1085" s="11" t="s">
        <v>1215</v>
      </c>
      <c r="C1085" s="11" t="s">
        <v>1280</v>
      </c>
      <c r="D1085" s="12">
        <v>26</v>
      </c>
      <c r="E1085" s="13">
        <v>19.004291845493565</v>
      </c>
    </row>
    <row r="1086" spans="1:5">
      <c r="A1086" s="3" t="s">
        <v>1307</v>
      </c>
      <c r="B1086" s="11" t="s">
        <v>1215</v>
      </c>
      <c r="C1086" s="11" t="s">
        <v>1280</v>
      </c>
      <c r="D1086" s="12">
        <v>27</v>
      </c>
      <c r="E1086" s="13">
        <v>19.377682403433475</v>
      </c>
    </row>
    <row r="1087" spans="1:5">
      <c r="A1087" s="3" t="s">
        <v>1308</v>
      </c>
      <c r="B1087" s="11" t="s">
        <v>1215</v>
      </c>
      <c r="C1087" s="11" t="s">
        <v>1280</v>
      </c>
      <c r="D1087" s="12">
        <v>28</v>
      </c>
      <c r="E1087" s="13">
        <v>19.751072961373389</v>
      </c>
    </row>
    <row r="1088" spans="1:5">
      <c r="A1088" s="3" t="s">
        <v>1309</v>
      </c>
      <c r="B1088" s="11" t="s">
        <v>1215</v>
      </c>
      <c r="C1088" s="11" t="s">
        <v>1280</v>
      </c>
      <c r="D1088" s="12">
        <v>29</v>
      </c>
      <c r="E1088" s="13">
        <v>20.124463519313302</v>
      </c>
    </row>
    <row r="1089" spans="1:5">
      <c r="A1089" s="3" t="s">
        <v>1310</v>
      </c>
      <c r="B1089" s="11" t="s">
        <v>1215</v>
      </c>
      <c r="C1089" s="11" t="s">
        <v>1280</v>
      </c>
      <c r="D1089" s="12">
        <v>30</v>
      </c>
      <c r="E1089" s="13">
        <v>20.497854077253219</v>
      </c>
    </row>
    <row r="1090" spans="1:5">
      <c r="A1090" s="3" t="s">
        <v>1311</v>
      </c>
      <c r="B1090" s="11" t="s">
        <v>1215</v>
      </c>
      <c r="C1090" s="11" t="s">
        <v>1280</v>
      </c>
      <c r="D1090" s="12">
        <v>31</v>
      </c>
      <c r="E1090" s="13">
        <v>20.871244635193133</v>
      </c>
    </row>
    <row r="1091" spans="1:5">
      <c r="A1091" s="3" t="s">
        <v>1312</v>
      </c>
      <c r="B1091" s="11" t="s">
        <v>1215</v>
      </c>
      <c r="C1091" s="11" t="s">
        <v>1280</v>
      </c>
      <c r="D1091" s="12">
        <v>32</v>
      </c>
      <c r="E1091" s="13">
        <v>21.244635193133046</v>
      </c>
    </row>
    <row r="1092" spans="1:5">
      <c r="A1092" s="3" t="s">
        <v>1313</v>
      </c>
      <c r="B1092" s="11" t="s">
        <v>1215</v>
      </c>
      <c r="C1092" s="11" t="s">
        <v>1280</v>
      </c>
      <c r="D1092" s="12">
        <v>33</v>
      </c>
      <c r="E1092" s="13">
        <v>21.61802575107296</v>
      </c>
    </row>
    <row r="1093" spans="1:5">
      <c r="A1093" s="3" t="s">
        <v>1314</v>
      </c>
      <c r="B1093" s="11" t="s">
        <v>1215</v>
      </c>
      <c r="C1093" s="11" t="s">
        <v>1280</v>
      </c>
      <c r="D1093" s="12">
        <v>34</v>
      </c>
      <c r="E1093" s="13">
        <v>21.991416309012877</v>
      </c>
    </row>
    <row r="1094" spans="1:5">
      <c r="A1094" s="3" t="s">
        <v>1315</v>
      </c>
      <c r="B1094" s="11" t="s">
        <v>1215</v>
      </c>
      <c r="C1094" s="11" t="s">
        <v>1280</v>
      </c>
      <c r="D1094" s="12">
        <v>35</v>
      </c>
      <c r="E1094" s="13">
        <v>22.36480686695279</v>
      </c>
    </row>
    <row r="1095" spans="1:5">
      <c r="A1095" s="3" t="s">
        <v>1316</v>
      </c>
      <c r="B1095" s="11" t="s">
        <v>1215</v>
      </c>
      <c r="C1095" s="11" t="s">
        <v>1280</v>
      </c>
      <c r="D1095" s="12">
        <v>36</v>
      </c>
      <c r="E1095" s="13">
        <v>22.738197424892704</v>
      </c>
    </row>
    <row r="1096" spans="1:5">
      <c r="A1096" s="3" t="s">
        <v>1317</v>
      </c>
      <c r="B1096" s="11" t="s">
        <v>1215</v>
      </c>
      <c r="C1096" s="11" t="s">
        <v>1280</v>
      </c>
      <c r="D1096" s="12">
        <v>37</v>
      </c>
      <c r="E1096" s="13">
        <v>23.111587982832621</v>
      </c>
    </row>
    <row r="1097" spans="1:5">
      <c r="A1097" s="3" t="s">
        <v>1318</v>
      </c>
      <c r="B1097" s="11" t="s">
        <v>1215</v>
      </c>
      <c r="C1097" s="11" t="s">
        <v>1280</v>
      </c>
      <c r="D1097" s="12">
        <v>38</v>
      </c>
      <c r="E1097" s="13">
        <v>23.484978540772534</v>
      </c>
    </row>
    <row r="1098" spans="1:5">
      <c r="A1098" s="3" t="s">
        <v>1319</v>
      </c>
      <c r="B1098" s="11" t="s">
        <v>1215</v>
      </c>
      <c r="C1098" s="11" t="s">
        <v>1280</v>
      </c>
      <c r="D1098" s="12">
        <v>39</v>
      </c>
      <c r="E1098" s="13">
        <v>23.858369098712448</v>
      </c>
    </row>
    <row r="1099" spans="1:5">
      <c r="A1099" s="3" t="s">
        <v>1320</v>
      </c>
      <c r="B1099" s="11" t="s">
        <v>1215</v>
      </c>
      <c r="C1099" s="11" t="s">
        <v>1280</v>
      </c>
      <c r="D1099" s="12">
        <v>40</v>
      </c>
      <c r="E1099" s="13">
        <v>24.231759656652361</v>
      </c>
    </row>
    <row r="1100" spans="1:5">
      <c r="A1100" s="3" t="s">
        <v>1321</v>
      </c>
      <c r="B1100" s="11" t="s">
        <v>1215</v>
      </c>
      <c r="C1100" s="11" t="s">
        <v>1280</v>
      </c>
      <c r="D1100" s="12">
        <v>41</v>
      </c>
      <c r="E1100" s="13">
        <v>24.605150214592275</v>
      </c>
    </row>
    <row r="1101" spans="1:5">
      <c r="A1101" s="3" t="s">
        <v>1322</v>
      </c>
      <c r="B1101" s="11" t="s">
        <v>1215</v>
      </c>
      <c r="C1101" s="11" t="s">
        <v>1280</v>
      </c>
      <c r="D1101" s="12">
        <v>42</v>
      </c>
      <c r="E1101" s="13">
        <v>24.978540772532188</v>
      </c>
    </row>
    <row r="1102" spans="1:5">
      <c r="A1102" s="3" t="s">
        <v>1323</v>
      </c>
      <c r="B1102" s="11" t="s">
        <v>1215</v>
      </c>
      <c r="C1102" s="11" t="s">
        <v>1280</v>
      </c>
      <c r="D1102" s="12">
        <v>43</v>
      </c>
      <c r="E1102" s="13">
        <v>25.351931330472102</v>
      </c>
    </row>
    <row r="1103" spans="1:5">
      <c r="A1103" s="3" t="s">
        <v>1324</v>
      </c>
      <c r="B1103" s="11" t="s">
        <v>1215</v>
      </c>
      <c r="C1103" s="11" t="s">
        <v>1280</v>
      </c>
      <c r="D1103" s="12">
        <v>44</v>
      </c>
      <c r="E1103" s="13">
        <v>25.725321888412015</v>
      </c>
    </row>
    <row r="1104" spans="1:5">
      <c r="A1104" s="3" t="s">
        <v>1325</v>
      </c>
      <c r="B1104" s="11" t="s">
        <v>1215</v>
      </c>
      <c r="C1104" s="11" t="s">
        <v>1280</v>
      </c>
      <c r="D1104" s="12">
        <v>45</v>
      </c>
      <c r="E1104" s="13">
        <v>26.098712446351932</v>
      </c>
    </row>
    <row r="1105" spans="1:5">
      <c r="A1105" s="3" t="s">
        <v>1326</v>
      </c>
      <c r="B1105" s="11" t="s">
        <v>1215</v>
      </c>
      <c r="C1105" s="11" t="s">
        <v>1280</v>
      </c>
      <c r="D1105" s="12">
        <v>46</v>
      </c>
      <c r="E1105" s="13">
        <v>26.472103004291849</v>
      </c>
    </row>
    <row r="1106" spans="1:5">
      <c r="A1106" s="3" t="s">
        <v>1327</v>
      </c>
      <c r="B1106" s="11" t="s">
        <v>1215</v>
      </c>
      <c r="C1106" s="11" t="s">
        <v>1280</v>
      </c>
      <c r="D1106" s="12">
        <v>47</v>
      </c>
      <c r="E1106" s="13">
        <v>26.845493562231759</v>
      </c>
    </row>
    <row r="1107" spans="1:5">
      <c r="A1107" s="3" t="s">
        <v>1328</v>
      </c>
      <c r="B1107" s="11" t="s">
        <v>1215</v>
      </c>
      <c r="C1107" s="11" t="s">
        <v>1280</v>
      </c>
      <c r="D1107" s="12">
        <v>48</v>
      </c>
      <c r="E1107" s="13">
        <v>27.218884120171669</v>
      </c>
    </row>
    <row r="1108" spans="1:5">
      <c r="A1108" s="3" t="s">
        <v>1329</v>
      </c>
      <c r="B1108" s="11" t="s">
        <v>1215</v>
      </c>
      <c r="C1108" s="11" t="s">
        <v>1280</v>
      </c>
      <c r="D1108" s="12">
        <v>49</v>
      </c>
      <c r="E1108" s="13">
        <v>27.59227467811159</v>
      </c>
    </row>
    <row r="1109" spans="1:5">
      <c r="A1109" s="3" t="s">
        <v>1330</v>
      </c>
      <c r="B1109" s="11" t="s">
        <v>1215</v>
      </c>
      <c r="C1109" s="11" t="s">
        <v>1280</v>
      </c>
      <c r="D1109" s="12">
        <v>50</v>
      </c>
      <c r="E1109" s="13">
        <v>27.965665236051503</v>
      </c>
    </row>
    <row r="1110" spans="1:5">
      <c r="A1110" s="3" t="s">
        <v>1331</v>
      </c>
      <c r="B1110" s="11" t="s">
        <v>1215</v>
      </c>
      <c r="C1110" s="11" t="s">
        <v>1280</v>
      </c>
      <c r="D1110" s="12">
        <v>51</v>
      </c>
      <c r="E1110" s="13">
        <v>28.33905579399142</v>
      </c>
    </row>
    <row r="1111" spans="1:5">
      <c r="A1111" s="3" t="s">
        <v>1332</v>
      </c>
      <c r="B1111" s="11" t="s">
        <v>1215</v>
      </c>
      <c r="C1111" s="11" t="s">
        <v>1280</v>
      </c>
      <c r="D1111" s="12">
        <v>52</v>
      </c>
      <c r="E1111" s="13">
        <v>28.71244635193133</v>
      </c>
    </row>
    <row r="1112" spans="1:5">
      <c r="A1112" s="3" t="s">
        <v>1333</v>
      </c>
      <c r="B1112" s="11" t="s">
        <v>1215</v>
      </c>
      <c r="C1112" s="11" t="s">
        <v>1280</v>
      </c>
      <c r="D1112" s="12">
        <v>53</v>
      </c>
      <c r="E1112" s="13">
        <v>29.08583690987124</v>
      </c>
    </row>
    <row r="1113" spans="1:5">
      <c r="A1113" s="3" t="s">
        <v>1334</v>
      </c>
      <c r="B1113" s="11" t="s">
        <v>1215</v>
      </c>
      <c r="C1113" s="11" t="s">
        <v>1280</v>
      </c>
      <c r="D1113" s="12">
        <v>54</v>
      </c>
      <c r="E1113" s="13">
        <v>29.459227467811157</v>
      </c>
    </row>
    <row r="1114" spans="1:5">
      <c r="A1114" s="3" t="s">
        <v>1335</v>
      </c>
      <c r="B1114" s="11" t="s">
        <v>1215</v>
      </c>
      <c r="C1114" s="11" t="s">
        <v>1280</v>
      </c>
      <c r="D1114" s="12">
        <v>55</v>
      </c>
      <c r="E1114" s="13">
        <v>29.832618025751071</v>
      </c>
    </row>
    <row r="1115" spans="1:5">
      <c r="A1115" s="3" t="s">
        <v>1336</v>
      </c>
      <c r="B1115" s="11" t="s">
        <v>1215</v>
      </c>
      <c r="C1115" s="11" t="s">
        <v>1280</v>
      </c>
      <c r="D1115" s="12">
        <v>56</v>
      </c>
      <c r="E1115" s="13">
        <v>30.206008583690991</v>
      </c>
    </row>
    <row r="1116" spans="1:5">
      <c r="A1116" s="3" t="s">
        <v>1337</v>
      </c>
      <c r="B1116" s="11" t="s">
        <v>1215</v>
      </c>
      <c r="C1116" s="11" t="s">
        <v>1280</v>
      </c>
      <c r="D1116" s="12">
        <v>57</v>
      </c>
      <c r="E1116" s="13">
        <v>30.579399141630901</v>
      </c>
    </row>
    <row r="1117" spans="1:5">
      <c r="A1117" s="3" t="s">
        <v>1338</v>
      </c>
      <c r="B1117" s="11" t="s">
        <v>1215</v>
      </c>
      <c r="C1117" s="11" t="s">
        <v>1280</v>
      </c>
      <c r="D1117" s="12">
        <v>58</v>
      </c>
      <c r="E1117" s="13">
        <v>30.952789699570811</v>
      </c>
    </row>
    <row r="1118" spans="1:5">
      <c r="A1118" s="3" t="s">
        <v>1339</v>
      </c>
      <c r="B1118" s="11" t="s">
        <v>1215</v>
      </c>
      <c r="C1118" s="11" t="s">
        <v>1280</v>
      </c>
      <c r="D1118" s="12">
        <v>59</v>
      </c>
      <c r="E1118" s="13">
        <v>31.326180257510728</v>
      </c>
    </row>
    <row r="1119" spans="1:5">
      <c r="A1119" s="3" t="s">
        <v>1340</v>
      </c>
      <c r="B1119" s="11" t="s">
        <v>1215</v>
      </c>
      <c r="C1119" s="11" t="s">
        <v>1280</v>
      </c>
      <c r="D1119" s="12">
        <v>60</v>
      </c>
      <c r="E1119" s="13">
        <v>31.699570815450645</v>
      </c>
    </row>
    <row r="1120" spans="1:5">
      <c r="A1120" s="3" t="s">
        <v>1341</v>
      </c>
      <c r="B1120" s="11" t="s">
        <v>1215</v>
      </c>
      <c r="C1120" s="11" t="s">
        <v>1280</v>
      </c>
      <c r="D1120" s="12">
        <v>61</v>
      </c>
      <c r="E1120" s="13">
        <v>32.072961373390562</v>
      </c>
    </row>
    <row r="1121" spans="1:5">
      <c r="A1121" s="3" t="s">
        <v>1342</v>
      </c>
      <c r="B1121" s="11" t="s">
        <v>1215</v>
      </c>
      <c r="C1121" s="11" t="s">
        <v>1280</v>
      </c>
      <c r="D1121" s="12">
        <v>62</v>
      </c>
      <c r="E1121" s="13">
        <v>32.446351931330476</v>
      </c>
    </row>
    <row r="1122" spans="1:5">
      <c r="A1122" s="3" t="s">
        <v>1343</v>
      </c>
      <c r="B1122" s="11" t="s">
        <v>1215</v>
      </c>
      <c r="C1122" s="11" t="s">
        <v>1280</v>
      </c>
      <c r="D1122" s="12">
        <v>63</v>
      </c>
      <c r="E1122" s="13">
        <v>32.819742489270382</v>
      </c>
    </row>
    <row r="1123" spans="1:5">
      <c r="A1123" s="3" t="s">
        <v>1344</v>
      </c>
      <c r="B1123" s="11" t="s">
        <v>1215</v>
      </c>
      <c r="C1123" s="11" t="s">
        <v>1280</v>
      </c>
      <c r="D1123" s="12">
        <v>64</v>
      </c>
      <c r="E1123" s="13">
        <v>33.193133047210303</v>
      </c>
    </row>
    <row r="1124" spans="1:5">
      <c r="A1124" s="3" t="s">
        <v>1345</v>
      </c>
      <c r="B1124" s="11" t="s">
        <v>1215</v>
      </c>
      <c r="C1124" s="11" t="s">
        <v>1280</v>
      </c>
      <c r="D1124" s="12">
        <v>65</v>
      </c>
      <c r="E1124" s="13">
        <v>33.566523605150216</v>
      </c>
    </row>
    <row r="1125" spans="1:5">
      <c r="A1125" s="3" t="s">
        <v>1346</v>
      </c>
      <c r="B1125" s="11" t="s">
        <v>1215</v>
      </c>
      <c r="C1125" s="11" t="s">
        <v>1280</v>
      </c>
      <c r="D1125" s="12">
        <v>66</v>
      </c>
      <c r="E1125" s="13">
        <v>33.939914163090137</v>
      </c>
    </row>
    <row r="1126" spans="1:5">
      <c r="A1126" s="3" t="s">
        <v>1347</v>
      </c>
      <c r="B1126" s="11" t="s">
        <v>1215</v>
      </c>
      <c r="C1126" s="11" t="s">
        <v>1280</v>
      </c>
      <c r="D1126" s="12">
        <v>67</v>
      </c>
      <c r="E1126" s="13">
        <v>34.313304721030043</v>
      </c>
    </row>
    <row r="1127" spans="1:5">
      <c r="A1127" s="3" t="s">
        <v>1348</v>
      </c>
      <c r="B1127" s="11" t="s">
        <v>1215</v>
      </c>
      <c r="C1127" s="11" t="s">
        <v>1280</v>
      </c>
      <c r="D1127" s="12">
        <v>68</v>
      </c>
      <c r="E1127" s="13">
        <v>34.686695278969957</v>
      </c>
    </row>
    <row r="1128" spans="1:5">
      <c r="A1128" s="3" t="s">
        <v>1349</v>
      </c>
      <c r="B1128" s="11" t="s">
        <v>1215</v>
      </c>
      <c r="C1128" s="11" t="s">
        <v>1280</v>
      </c>
      <c r="D1128" s="12">
        <v>69</v>
      </c>
      <c r="E1128" s="13">
        <v>35.06008583690987</v>
      </c>
    </row>
    <row r="1129" spans="1:5">
      <c r="A1129" s="3" t="s">
        <v>1350</v>
      </c>
      <c r="B1129" s="11" t="s">
        <v>1215</v>
      </c>
      <c r="C1129" s="11" t="s">
        <v>1280</v>
      </c>
      <c r="D1129" s="12">
        <v>70</v>
      </c>
      <c r="E1129" s="13">
        <v>35.433476394849784</v>
      </c>
    </row>
    <row r="1130" spans="1:5">
      <c r="A1130" s="3" t="s">
        <v>1351</v>
      </c>
      <c r="B1130" s="11" t="s">
        <v>1215</v>
      </c>
      <c r="C1130" s="11" t="s">
        <v>1280</v>
      </c>
      <c r="D1130" s="12">
        <v>71</v>
      </c>
      <c r="E1130" s="13">
        <v>35.806866952789704</v>
      </c>
    </row>
    <row r="1131" spans="1:5">
      <c r="A1131" s="3" t="s">
        <v>1352</v>
      </c>
      <c r="B1131" s="11" t="s">
        <v>1215</v>
      </c>
      <c r="C1131" s="11" t="s">
        <v>1280</v>
      </c>
      <c r="D1131" s="12">
        <v>72</v>
      </c>
      <c r="E1131" s="13">
        <v>36.180257510729611</v>
      </c>
    </row>
    <row r="1132" spans="1:5">
      <c r="A1132" s="3" t="s">
        <v>1353</v>
      </c>
      <c r="B1132" s="11" t="s">
        <v>1215</v>
      </c>
      <c r="C1132" s="11" t="s">
        <v>1280</v>
      </c>
      <c r="D1132" s="12">
        <v>73</v>
      </c>
      <c r="E1132" s="13">
        <v>36.553648068669524</v>
      </c>
    </row>
    <row r="1133" spans="1:5">
      <c r="A1133" s="3" t="s">
        <v>1354</v>
      </c>
      <c r="B1133" s="11" t="s">
        <v>1215</v>
      </c>
      <c r="C1133" s="11" t="s">
        <v>1280</v>
      </c>
      <c r="D1133" s="12">
        <v>74</v>
      </c>
      <c r="E1133" s="13">
        <v>36.927038626609445</v>
      </c>
    </row>
    <row r="1134" spans="1:5">
      <c r="A1134" s="3" t="s">
        <v>1355</v>
      </c>
      <c r="B1134" s="11" t="s">
        <v>1215</v>
      </c>
      <c r="C1134" s="11" t="s">
        <v>1280</v>
      </c>
      <c r="D1134" s="12">
        <v>75</v>
      </c>
      <c r="E1134" s="13">
        <v>37.300429184549351</v>
      </c>
    </row>
    <row r="1135" spans="1:5">
      <c r="A1135" s="3" t="s">
        <v>1356</v>
      </c>
      <c r="B1135" s="11" t="s">
        <v>1215</v>
      </c>
      <c r="C1135" s="11" t="s">
        <v>1280</v>
      </c>
      <c r="D1135" s="12">
        <v>76</v>
      </c>
      <c r="E1135" s="13">
        <v>37.673819742489272</v>
      </c>
    </row>
    <row r="1136" spans="1:5">
      <c r="A1136" s="3" t="s">
        <v>1357</v>
      </c>
      <c r="B1136" s="11" t="s">
        <v>1215</v>
      </c>
      <c r="C1136" s="11" t="s">
        <v>1280</v>
      </c>
      <c r="D1136" s="12">
        <v>77</v>
      </c>
      <c r="E1136" s="13">
        <v>38.047210300429178</v>
      </c>
    </row>
    <row r="1137" spans="1:5">
      <c r="A1137" s="3" t="s">
        <v>1358</v>
      </c>
      <c r="B1137" s="11" t="s">
        <v>1215</v>
      </c>
      <c r="C1137" s="11" t="s">
        <v>1280</v>
      </c>
      <c r="D1137" s="12">
        <v>78</v>
      </c>
      <c r="E1137" s="13">
        <v>38.420600858369099</v>
      </c>
    </row>
    <row r="1138" spans="1:5">
      <c r="A1138" s="3" t="s">
        <v>1359</v>
      </c>
      <c r="B1138" s="11" t="s">
        <v>1215</v>
      </c>
      <c r="C1138" s="11" t="s">
        <v>1280</v>
      </c>
      <c r="D1138" s="12">
        <v>79</v>
      </c>
      <c r="E1138" s="13">
        <v>38.793991416309012</v>
      </c>
    </row>
    <row r="1139" spans="1:5">
      <c r="A1139" s="3" t="s">
        <v>1360</v>
      </c>
      <c r="B1139" s="11" t="s">
        <v>1215</v>
      </c>
      <c r="C1139" s="11" t="s">
        <v>1280</v>
      </c>
      <c r="D1139" s="12">
        <v>80</v>
      </c>
      <c r="E1139" s="13">
        <v>39.167381974248926</v>
      </c>
    </row>
    <row r="1140" spans="1:5">
      <c r="A1140" s="3" t="s">
        <v>1361</v>
      </c>
      <c r="B1140" s="11" t="s">
        <v>1215</v>
      </c>
      <c r="C1140" s="11" t="s">
        <v>2</v>
      </c>
      <c r="D1140" s="3" t="s">
        <v>19</v>
      </c>
      <c r="E1140" s="13">
        <v>0</v>
      </c>
    </row>
    <row r="1141" spans="1:5">
      <c r="A1141" s="3" t="s">
        <v>1362</v>
      </c>
      <c r="B1141" s="11" t="s">
        <v>1215</v>
      </c>
      <c r="C1141" s="11" t="s">
        <v>2</v>
      </c>
      <c r="D1141" s="3" t="s">
        <v>11</v>
      </c>
      <c r="E1141" s="13">
        <v>0.20600858369098712</v>
      </c>
    </row>
    <row r="1142" spans="1:5">
      <c r="A1142" s="3" t="s">
        <v>1363</v>
      </c>
      <c r="B1142" s="11" t="s">
        <v>555</v>
      </c>
      <c r="C1142" s="11" t="s">
        <v>709</v>
      </c>
      <c r="D1142" s="39">
        <v>21</v>
      </c>
      <c r="E1142" s="40">
        <v>8.65236051502146</v>
      </c>
    </row>
    <row r="1143" spans="1:5">
      <c r="A1143" s="3" t="s">
        <v>1364</v>
      </c>
      <c r="B1143" s="11" t="s">
        <v>555</v>
      </c>
      <c r="C1143" s="11" t="s">
        <v>709</v>
      </c>
      <c r="D1143" s="39">
        <v>22</v>
      </c>
      <c r="E1143" s="40">
        <v>9.0643776824034337</v>
      </c>
    </row>
    <row r="1144" spans="1:5">
      <c r="A1144" s="3" t="s">
        <v>1365</v>
      </c>
      <c r="B1144" s="11" t="s">
        <v>555</v>
      </c>
      <c r="C1144" s="11" t="s">
        <v>709</v>
      </c>
      <c r="D1144" s="39">
        <v>23</v>
      </c>
      <c r="E1144" s="40">
        <v>9.4763948497854074</v>
      </c>
    </row>
    <row r="1145" spans="1:5">
      <c r="A1145" s="3" t="s">
        <v>1366</v>
      </c>
      <c r="B1145" s="11" t="s">
        <v>555</v>
      </c>
      <c r="C1145" s="11" t="s">
        <v>709</v>
      </c>
      <c r="D1145" s="39">
        <v>24</v>
      </c>
      <c r="E1145" s="40">
        <v>9.8884120171673828</v>
      </c>
    </row>
    <row r="1146" spans="1:5">
      <c r="A1146" s="3" t="s">
        <v>1367</v>
      </c>
      <c r="B1146" s="11" t="s">
        <v>555</v>
      </c>
      <c r="C1146" s="11" t="s">
        <v>709</v>
      </c>
      <c r="D1146" s="39">
        <v>25</v>
      </c>
      <c r="E1146" s="40">
        <v>10.300429184549357</v>
      </c>
    </row>
    <row r="1147" spans="1:5">
      <c r="A1147" s="3" t="s">
        <v>1368</v>
      </c>
      <c r="B1147" s="11" t="s">
        <v>555</v>
      </c>
      <c r="C1147" s="11" t="s">
        <v>709</v>
      </c>
      <c r="D1147" s="39">
        <v>26</v>
      </c>
      <c r="E1147" s="40">
        <v>10.71244635193133</v>
      </c>
    </row>
    <row r="1148" spans="1:5">
      <c r="A1148" s="3" t="s">
        <v>1369</v>
      </c>
      <c r="B1148" s="11" t="s">
        <v>555</v>
      </c>
      <c r="C1148" s="11" t="s">
        <v>709</v>
      </c>
      <c r="D1148" s="39">
        <v>27</v>
      </c>
      <c r="E1148" s="40">
        <v>11.124463519313304</v>
      </c>
    </row>
    <row r="1149" spans="1:5">
      <c r="A1149" s="3" t="s">
        <v>1370</v>
      </c>
      <c r="B1149" s="11" t="s">
        <v>555</v>
      </c>
      <c r="C1149" s="11" t="s">
        <v>709</v>
      </c>
      <c r="D1149" s="39">
        <v>28</v>
      </c>
      <c r="E1149" s="40">
        <v>11.536480686695279</v>
      </c>
    </row>
    <row r="1150" spans="1:5">
      <c r="A1150" s="3" t="s">
        <v>1371</v>
      </c>
      <c r="B1150" s="11" t="s">
        <v>555</v>
      </c>
      <c r="C1150" s="11" t="s">
        <v>709</v>
      </c>
      <c r="D1150" s="39">
        <v>29</v>
      </c>
      <c r="E1150" s="40">
        <v>11.948497854077253</v>
      </c>
    </row>
    <row r="1151" spans="1:5">
      <c r="A1151" s="3" t="s">
        <v>1372</v>
      </c>
      <c r="B1151" s="11" t="s">
        <v>555</v>
      </c>
      <c r="C1151" s="11" t="s">
        <v>709</v>
      </c>
      <c r="D1151" s="39">
        <v>30</v>
      </c>
      <c r="E1151" s="40">
        <v>12.360515021459227</v>
      </c>
    </row>
    <row r="1152" spans="1:5">
      <c r="A1152" s="3" t="s">
        <v>1373</v>
      </c>
      <c r="B1152" s="11" t="s">
        <v>555</v>
      </c>
      <c r="C1152" s="11" t="s">
        <v>709</v>
      </c>
      <c r="D1152" s="39">
        <v>31</v>
      </c>
      <c r="E1152" s="40">
        <v>12.772532188841202</v>
      </c>
    </row>
    <row r="1153" spans="1:5">
      <c r="A1153" s="3" t="s">
        <v>1374</v>
      </c>
      <c r="B1153" s="11" t="s">
        <v>555</v>
      </c>
      <c r="C1153" s="11" t="s">
        <v>709</v>
      </c>
      <c r="D1153" s="39">
        <v>32</v>
      </c>
      <c r="E1153" s="40">
        <v>13.184549356223176</v>
      </c>
    </row>
    <row r="1154" spans="1:5">
      <c r="A1154" s="3" t="s">
        <v>1375</v>
      </c>
      <c r="B1154" s="11" t="s">
        <v>555</v>
      </c>
      <c r="C1154" s="11" t="s">
        <v>709</v>
      </c>
      <c r="D1154" s="39">
        <v>33</v>
      </c>
      <c r="E1154" s="40">
        <v>13.59656652360515</v>
      </c>
    </row>
    <row r="1155" spans="1:5">
      <c r="A1155" s="3" t="s">
        <v>1376</v>
      </c>
      <c r="B1155" s="11" t="s">
        <v>555</v>
      </c>
      <c r="C1155" s="11" t="s">
        <v>709</v>
      </c>
      <c r="D1155" s="39">
        <v>34</v>
      </c>
      <c r="E1155" s="40">
        <v>14.008583690987125</v>
      </c>
    </row>
    <row r="1156" spans="1:5">
      <c r="A1156" s="3" t="s">
        <v>1377</v>
      </c>
      <c r="B1156" s="11" t="s">
        <v>555</v>
      </c>
      <c r="C1156" s="11" t="s">
        <v>709</v>
      </c>
      <c r="D1156" s="39">
        <v>35</v>
      </c>
      <c r="E1156" s="40">
        <v>14.420600858369099</v>
      </c>
    </row>
    <row r="1157" spans="1:5">
      <c r="A1157" s="3" t="s">
        <v>1378</v>
      </c>
      <c r="B1157" s="11" t="s">
        <v>555</v>
      </c>
      <c r="C1157" s="11" t="s">
        <v>709</v>
      </c>
      <c r="D1157" s="39">
        <v>36</v>
      </c>
      <c r="E1157" s="40">
        <v>14.832618025751072</v>
      </c>
    </row>
    <row r="1158" spans="1:5">
      <c r="A1158" s="3" t="s">
        <v>1379</v>
      </c>
      <c r="B1158" s="11" t="s">
        <v>555</v>
      </c>
      <c r="C1158" s="11" t="s">
        <v>709</v>
      </c>
      <c r="D1158" s="39">
        <v>37</v>
      </c>
      <c r="E1158" s="40">
        <v>15.244635193133048</v>
      </c>
    </row>
    <row r="1159" spans="1:5">
      <c r="A1159" s="3" t="s">
        <v>1380</v>
      </c>
      <c r="B1159" s="11" t="s">
        <v>555</v>
      </c>
      <c r="C1159" s="11" t="s">
        <v>709</v>
      </c>
      <c r="D1159" s="39">
        <v>38</v>
      </c>
      <c r="E1159" s="40">
        <v>15.656652360515022</v>
      </c>
    </row>
    <row r="1160" spans="1:5">
      <c r="A1160" s="3" t="s">
        <v>1381</v>
      </c>
      <c r="B1160" s="11" t="s">
        <v>555</v>
      </c>
      <c r="C1160" s="11" t="s">
        <v>709</v>
      </c>
      <c r="D1160" s="39">
        <v>39</v>
      </c>
      <c r="E1160" s="40">
        <v>16.068669527896997</v>
      </c>
    </row>
    <row r="1161" spans="1:5">
      <c r="A1161" s="3" t="s">
        <v>1382</v>
      </c>
      <c r="B1161" s="11" t="s">
        <v>555</v>
      </c>
      <c r="C1161" s="11" t="s">
        <v>709</v>
      </c>
      <c r="D1161" s="39">
        <v>40</v>
      </c>
      <c r="E1161" s="40">
        <v>16.480686695278969</v>
      </c>
    </row>
    <row r="1162" spans="1:5">
      <c r="A1162" s="3" t="s">
        <v>1383</v>
      </c>
      <c r="B1162" s="11" t="s">
        <v>555</v>
      </c>
      <c r="C1162" s="11" t="s">
        <v>709</v>
      </c>
      <c r="D1162" s="39">
        <v>41</v>
      </c>
      <c r="E1162" s="40">
        <v>16.892703862660944</v>
      </c>
    </row>
    <row r="1163" spans="1:5">
      <c r="A1163" s="3" t="s">
        <v>1384</v>
      </c>
      <c r="B1163" s="11" t="s">
        <v>555</v>
      </c>
      <c r="C1163" s="11" t="s">
        <v>709</v>
      </c>
      <c r="D1163" s="39">
        <v>42</v>
      </c>
      <c r="E1163" s="40">
        <v>17.30472103004292</v>
      </c>
    </row>
    <row r="1164" spans="1:5">
      <c r="A1164" s="3" t="s">
        <v>1385</v>
      </c>
      <c r="B1164" s="11" t="s">
        <v>555</v>
      </c>
      <c r="C1164" s="11" t="s">
        <v>709</v>
      </c>
      <c r="D1164" s="39">
        <v>43</v>
      </c>
      <c r="E1164" s="40">
        <v>17.716738197424892</v>
      </c>
    </row>
    <row r="1165" spans="1:5">
      <c r="A1165" s="3" t="s">
        <v>1386</v>
      </c>
      <c r="B1165" s="11" t="s">
        <v>555</v>
      </c>
      <c r="C1165" s="11" t="s">
        <v>709</v>
      </c>
      <c r="D1165" s="39">
        <v>44</v>
      </c>
      <c r="E1165" s="40">
        <v>18.128755364806867</v>
      </c>
    </row>
    <row r="1166" spans="1:5">
      <c r="A1166" s="3" t="s">
        <v>1387</v>
      </c>
      <c r="B1166" s="11" t="s">
        <v>555</v>
      </c>
      <c r="C1166" s="11" t="s">
        <v>709</v>
      </c>
      <c r="D1166" s="39">
        <v>45</v>
      </c>
      <c r="E1166" s="40">
        <v>18.540772532188843</v>
      </c>
    </row>
    <row r="1167" spans="1:5">
      <c r="A1167" s="3" t="s">
        <v>1388</v>
      </c>
      <c r="B1167" s="11" t="s">
        <v>555</v>
      </c>
      <c r="C1167" s="11" t="s">
        <v>709</v>
      </c>
      <c r="D1167" s="39">
        <v>46</v>
      </c>
      <c r="E1167" s="40">
        <v>18.952789699570815</v>
      </c>
    </row>
    <row r="1168" spans="1:5">
      <c r="A1168" s="3" t="s">
        <v>1389</v>
      </c>
      <c r="B1168" s="11" t="s">
        <v>555</v>
      </c>
      <c r="C1168" s="11" t="s">
        <v>709</v>
      </c>
      <c r="D1168" s="39">
        <v>47</v>
      </c>
      <c r="E1168" s="40">
        <v>19.36480686695279</v>
      </c>
    </row>
    <row r="1169" spans="1:5">
      <c r="A1169" s="3" t="s">
        <v>1390</v>
      </c>
      <c r="B1169" s="11" t="s">
        <v>555</v>
      </c>
      <c r="C1169" s="11" t="s">
        <v>709</v>
      </c>
      <c r="D1169" s="39">
        <v>48</v>
      </c>
      <c r="E1169" s="40">
        <v>19.776824034334766</v>
      </c>
    </row>
    <row r="1170" spans="1:5">
      <c r="A1170" s="3" t="s">
        <v>1391</v>
      </c>
      <c r="B1170" s="11" t="s">
        <v>555</v>
      </c>
      <c r="C1170" s="11" t="s">
        <v>709</v>
      </c>
      <c r="D1170" s="39">
        <v>49</v>
      </c>
      <c r="E1170" s="40">
        <v>20.188841201716738</v>
      </c>
    </row>
    <row r="1171" spans="1:5">
      <c r="A1171" s="3" t="s">
        <v>1392</v>
      </c>
      <c r="B1171" s="11" t="s">
        <v>555</v>
      </c>
      <c r="C1171" s="11" t="s">
        <v>709</v>
      </c>
      <c r="D1171" s="39">
        <v>50</v>
      </c>
      <c r="E1171" s="40">
        <v>20.600858369098713</v>
      </c>
    </row>
    <row r="1172" spans="1:5">
      <c r="A1172" s="2" t="s">
        <v>1393</v>
      </c>
      <c r="B1172" s="11" t="s">
        <v>555</v>
      </c>
      <c r="C1172" s="2" t="s">
        <v>1394</v>
      </c>
      <c r="D1172" s="12">
        <v>1</v>
      </c>
      <c r="E1172" s="13">
        <v>0.124</v>
      </c>
    </row>
    <row r="1173" spans="1:5">
      <c r="A1173" s="2" t="s">
        <v>1395</v>
      </c>
      <c r="B1173" s="11" t="s">
        <v>555</v>
      </c>
      <c r="C1173" s="2" t="s">
        <v>1394</v>
      </c>
      <c r="D1173" s="12">
        <v>2</v>
      </c>
      <c r="E1173" s="13">
        <v>0.248</v>
      </c>
    </row>
    <row r="1174" spans="1:5">
      <c r="A1174" s="2" t="s">
        <v>1396</v>
      </c>
      <c r="B1174" s="11" t="s">
        <v>555</v>
      </c>
      <c r="C1174" s="2" t="s">
        <v>1394</v>
      </c>
      <c r="D1174" s="12">
        <v>3</v>
      </c>
      <c r="E1174" s="13">
        <v>0.372</v>
      </c>
    </row>
    <row r="1175" spans="1:5">
      <c r="A1175" s="2" t="s">
        <v>1397</v>
      </c>
      <c r="B1175" s="11" t="s">
        <v>555</v>
      </c>
      <c r="C1175" s="2" t="s">
        <v>1394</v>
      </c>
      <c r="D1175" s="12">
        <v>4</v>
      </c>
      <c r="E1175" s="13">
        <v>0.496</v>
      </c>
    </row>
    <row r="1176" spans="1:5">
      <c r="A1176" s="2" t="s">
        <v>1398</v>
      </c>
      <c r="B1176" s="11" t="s">
        <v>555</v>
      </c>
      <c r="C1176" s="2" t="s">
        <v>1394</v>
      </c>
      <c r="D1176" s="12">
        <v>5</v>
      </c>
      <c r="E1176" s="13">
        <v>0.62</v>
      </c>
    </row>
    <row r="1177" spans="1:5">
      <c r="A1177" s="2" t="s">
        <v>1399</v>
      </c>
      <c r="B1177" s="11" t="s">
        <v>555</v>
      </c>
      <c r="C1177" s="2" t="s">
        <v>1394</v>
      </c>
      <c r="D1177" s="12">
        <v>6</v>
      </c>
      <c r="E1177" s="13">
        <v>0.74399999999999999</v>
      </c>
    </row>
    <row r="1178" spans="1:5">
      <c r="A1178" s="2" t="s">
        <v>1400</v>
      </c>
      <c r="B1178" s="11" t="s">
        <v>555</v>
      </c>
      <c r="C1178" s="2" t="s">
        <v>1394</v>
      </c>
      <c r="D1178" s="12">
        <v>7</v>
      </c>
      <c r="E1178" s="13">
        <v>0.86799999999999999</v>
      </c>
    </row>
    <row r="1179" spans="1:5">
      <c r="A1179" s="2" t="s">
        <v>1401</v>
      </c>
      <c r="B1179" s="11" t="s">
        <v>555</v>
      </c>
      <c r="C1179" s="2" t="s">
        <v>1394</v>
      </c>
      <c r="D1179" s="12">
        <v>8</v>
      </c>
      <c r="E1179" s="13">
        <v>0.99199999999999999</v>
      </c>
    </row>
    <row r="1180" spans="1:5">
      <c r="A1180" s="2" t="s">
        <v>1402</v>
      </c>
      <c r="B1180" s="11" t="s">
        <v>555</v>
      </c>
      <c r="C1180" s="2" t="s">
        <v>1394</v>
      </c>
      <c r="D1180" s="12">
        <v>9</v>
      </c>
      <c r="E1180" s="13">
        <v>1.1160000000000001</v>
      </c>
    </row>
    <row r="1181" spans="1:5">
      <c r="A1181" s="2" t="s">
        <v>1403</v>
      </c>
      <c r="B1181" s="11" t="s">
        <v>555</v>
      </c>
      <c r="C1181" s="2" t="s">
        <v>1394</v>
      </c>
      <c r="D1181" s="12">
        <v>10</v>
      </c>
      <c r="E1181" s="13">
        <v>1.24</v>
      </c>
    </row>
    <row r="1182" spans="1:5">
      <c r="A1182" s="2" t="s">
        <v>1404</v>
      </c>
      <c r="B1182" s="11" t="s">
        <v>555</v>
      </c>
      <c r="C1182" s="2" t="s">
        <v>1394</v>
      </c>
      <c r="D1182" s="12">
        <v>11</v>
      </c>
      <c r="E1182" s="13">
        <v>1.3639999999999999</v>
      </c>
    </row>
    <row r="1183" spans="1:5">
      <c r="A1183" s="2" t="s">
        <v>1405</v>
      </c>
      <c r="B1183" s="11" t="s">
        <v>555</v>
      </c>
      <c r="C1183" s="2" t="s">
        <v>1394</v>
      </c>
      <c r="D1183" s="12">
        <v>12</v>
      </c>
      <c r="E1183" s="13">
        <v>1.488</v>
      </c>
    </row>
    <row r="1184" spans="1:5">
      <c r="A1184" s="2" t="s">
        <v>1406</v>
      </c>
      <c r="B1184" s="11" t="s">
        <v>555</v>
      </c>
      <c r="C1184" s="2" t="s">
        <v>1394</v>
      </c>
      <c r="D1184" s="12">
        <v>13</v>
      </c>
      <c r="E1184" s="13">
        <v>1.6120000000000001</v>
      </c>
    </row>
    <row r="1185" spans="1:5">
      <c r="A1185" s="2" t="s">
        <v>1407</v>
      </c>
      <c r="B1185" s="11" t="s">
        <v>555</v>
      </c>
      <c r="C1185" s="2" t="s">
        <v>1394</v>
      </c>
      <c r="D1185" s="12">
        <v>14</v>
      </c>
      <c r="E1185" s="13">
        <v>1.736</v>
      </c>
    </row>
    <row r="1186" spans="1:5">
      <c r="A1186" s="2" t="s">
        <v>1408</v>
      </c>
      <c r="B1186" s="11" t="s">
        <v>555</v>
      </c>
      <c r="C1186" s="2" t="s">
        <v>1394</v>
      </c>
      <c r="D1186" s="12">
        <v>15</v>
      </c>
      <c r="E1186" s="13">
        <v>1.8599999999999999</v>
      </c>
    </row>
    <row r="1187" spans="1:5">
      <c r="A1187" s="2" t="s">
        <v>1409</v>
      </c>
      <c r="B1187" s="11" t="s">
        <v>555</v>
      </c>
      <c r="C1187" s="2" t="s">
        <v>1394</v>
      </c>
      <c r="D1187" s="12">
        <v>16</v>
      </c>
      <c r="E1187" s="13">
        <v>1.984</v>
      </c>
    </row>
    <row r="1188" spans="1:5">
      <c r="A1188" s="2" t="s">
        <v>1410</v>
      </c>
      <c r="B1188" s="11" t="s">
        <v>555</v>
      </c>
      <c r="C1188" s="2" t="s">
        <v>1394</v>
      </c>
      <c r="D1188" s="12">
        <v>17</v>
      </c>
      <c r="E1188" s="13">
        <v>2.1080000000000001</v>
      </c>
    </row>
    <row r="1189" spans="1:5">
      <c r="A1189" s="2" t="s">
        <v>1411</v>
      </c>
      <c r="B1189" s="11" t="s">
        <v>555</v>
      </c>
      <c r="C1189" s="2" t="s">
        <v>1394</v>
      </c>
      <c r="D1189" s="12">
        <v>18</v>
      </c>
      <c r="E1189" s="13">
        <v>2.2320000000000002</v>
      </c>
    </row>
    <row r="1190" spans="1:5">
      <c r="A1190" s="2" t="s">
        <v>1412</v>
      </c>
      <c r="B1190" s="11" t="s">
        <v>555</v>
      </c>
      <c r="C1190" s="2" t="s">
        <v>1394</v>
      </c>
      <c r="D1190" s="12">
        <v>19</v>
      </c>
      <c r="E1190" s="13">
        <v>2.3559999999999999</v>
      </c>
    </row>
    <row r="1191" spans="1:5">
      <c r="A1191" s="2" t="s">
        <v>1413</v>
      </c>
      <c r="B1191" s="11" t="s">
        <v>555</v>
      </c>
      <c r="C1191" s="2" t="s">
        <v>1394</v>
      </c>
      <c r="D1191" s="12">
        <v>20</v>
      </c>
      <c r="E1191" s="13">
        <v>2.48</v>
      </c>
    </row>
    <row r="1192" spans="1:5">
      <c r="A1192" s="2" t="s">
        <v>1413</v>
      </c>
      <c r="B1192" s="11" t="s">
        <v>555</v>
      </c>
      <c r="C1192" s="2" t="s">
        <v>1394</v>
      </c>
      <c r="D1192" s="12">
        <v>21</v>
      </c>
      <c r="E1192" s="13">
        <v>2.6040000000000001</v>
      </c>
    </row>
    <row r="1193" spans="1:5">
      <c r="A1193" s="2" t="s">
        <v>1414</v>
      </c>
      <c r="B1193" s="11" t="s">
        <v>555</v>
      </c>
      <c r="C1193" s="2" t="s">
        <v>1394</v>
      </c>
      <c r="D1193" s="12">
        <v>22</v>
      </c>
      <c r="E1193" s="13">
        <v>2.7279999999999998</v>
      </c>
    </row>
    <row r="1194" spans="1:5">
      <c r="A1194" s="2" t="s">
        <v>1415</v>
      </c>
      <c r="B1194" s="11" t="s">
        <v>555</v>
      </c>
      <c r="C1194" s="2" t="s">
        <v>1394</v>
      </c>
      <c r="D1194" s="12">
        <v>23</v>
      </c>
      <c r="E1194" s="13">
        <v>2.8519999999999999</v>
      </c>
    </row>
    <row r="1195" spans="1:5">
      <c r="A1195" s="2" t="s">
        <v>1416</v>
      </c>
      <c r="B1195" s="11" t="s">
        <v>555</v>
      </c>
      <c r="C1195" s="2" t="s">
        <v>1394</v>
      </c>
      <c r="D1195" s="12">
        <v>24</v>
      </c>
      <c r="E1195" s="13">
        <v>2.976</v>
      </c>
    </row>
    <row r="1196" spans="1:5">
      <c r="A1196" s="2" t="s">
        <v>1417</v>
      </c>
      <c r="B1196" s="11" t="s">
        <v>555</v>
      </c>
      <c r="C1196" s="2" t="s">
        <v>1394</v>
      </c>
      <c r="D1196" s="12">
        <v>25</v>
      </c>
      <c r="E1196" s="13">
        <v>3.1</v>
      </c>
    </row>
    <row r="1197" spans="1:5">
      <c r="A1197" s="2" t="s">
        <v>1418</v>
      </c>
      <c r="B1197" s="11" t="s">
        <v>555</v>
      </c>
      <c r="C1197" s="2" t="s">
        <v>1394</v>
      </c>
      <c r="D1197" s="12">
        <v>26</v>
      </c>
      <c r="E1197" s="13">
        <v>3.2240000000000002</v>
      </c>
    </row>
    <row r="1198" spans="1:5">
      <c r="A1198" s="2" t="s">
        <v>1419</v>
      </c>
      <c r="B1198" s="11" t="s">
        <v>555</v>
      </c>
      <c r="C1198" s="2" t="s">
        <v>1394</v>
      </c>
      <c r="D1198" s="12">
        <v>27</v>
      </c>
      <c r="E1198" s="13">
        <v>3.3479999999999999</v>
      </c>
    </row>
    <row r="1199" spans="1:5">
      <c r="A1199" s="2" t="s">
        <v>1420</v>
      </c>
      <c r="B1199" s="11" t="s">
        <v>555</v>
      </c>
      <c r="C1199" s="2" t="s">
        <v>1394</v>
      </c>
      <c r="D1199" s="12">
        <v>28</v>
      </c>
      <c r="E1199" s="13">
        <v>3.472</v>
      </c>
    </row>
    <row r="1200" spans="1:5">
      <c r="A1200" s="2" t="s">
        <v>1421</v>
      </c>
      <c r="B1200" s="11" t="s">
        <v>555</v>
      </c>
      <c r="C1200" s="2" t="s">
        <v>1394</v>
      </c>
      <c r="D1200" s="12">
        <v>29</v>
      </c>
      <c r="E1200" s="13">
        <v>3.5960000000000001</v>
      </c>
    </row>
    <row r="1201" spans="1:5">
      <c r="A1201" s="2" t="s">
        <v>1422</v>
      </c>
      <c r="B1201" s="11" t="s">
        <v>555</v>
      </c>
      <c r="C1201" s="2" t="s">
        <v>1394</v>
      </c>
      <c r="D1201" s="12">
        <v>30</v>
      </c>
      <c r="E1201" s="13">
        <v>3.7199999999999998</v>
      </c>
    </row>
    <row r="1202" spans="1:5">
      <c r="A1202" s="2" t="s">
        <v>1423</v>
      </c>
      <c r="B1202" s="11" t="s">
        <v>555</v>
      </c>
      <c r="C1202" s="2" t="s">
        <v>1394</v>
      </c>
      <c r="D1202" s="12">
        <v>31</v>
      </c>
      <c r="E1202" s="13">
        <v>3.8439999999999999</v>
      </c>
    </row>
    <row r="1203" spans="1:5">
      <c r="A1203" s="2" t="s">
        <v>1424</v>
      </c>
      <c r="B1203" s="11" t="s">
        <v>555</v>
      </c>
      <c r="C1203" s="2" t="s">
        <v>1394</v>
      </c>
      <c r="D1203" s="12">
        <v>32</v>
      </c>
      <c r="E1203" s="13">
        <v>3.968</v>
      </c>
    </row>
    <row r="1204" spans="1:5">
      <c r="A1204" s="2" t="s">
        <v>1425</v>
      </c>
      <c r="B1204" s="11" t="s">
        <v>555</v>
      </c>
      <c r="C1204" s="2" t="s">
        <v>1394</v>
      </c>
      <c r="D1204" s="12">
        <v>33</v>
      </c>
      <c r="E1204" s="13">
        <v>4.0919999999999996</v>
      </c>
    </row>
    <row r="1205" spans="1:5">
      <c r="A1205" s="2" t="s">
        <v>1426</v>
      </c>
      <c r="B1205" s="11" t="s">
        <v>555</v>
      </c>
      <c r="C1205" s="2" t="s">
        <v>1394</v>
      </c>
      <c r="D1205" s="12">
        <v>34</v>
      </c>
      <c r="E1205" s="13">
        <v>4.2160000000000002</v>
      </c>
    </row>
    <row r="1206" spans="1:5">
      <c r="A1206" s="2" t="s">
        <v>1427</v>
      </c>
      <c r="B1206" s="11" t="s">
        <v>555</v>
      </c>
      <c r="C1206" s="2" t="s">
        <v>1394</v>
      </c>
      <c r="D1206" s="12">
        <v>35</v>
      </c>
      <c r="E1206" s="13">
        <v>4.34</v>
      </c>
    </row>
    <row r="1207" spans="1:5">
      <c r="A1207" s="2" t="s">
        <v>1428</v>
      </c>
      <c r="B1207" s="11" t="s">
        <v>555</v>
      </c>
      <c r="C1207" s="2" t="s">
        <v>1394</v>
      </c>
      <c r="D1207" s="12">
        <v>36</v>
      </c>
      <c r="E1207" s="13">
        <v>4.4640000000000004</v>
      </c>
    </row>
    <row r="1208" spans="1:5">
      <c r="A1208" s="2" t="s">
        <v>1429</v>
      </c>
      <c r="B1208" s="11" t="s">
        <v>555</v>
      </c>
      <c r="C1208" s="2" t="s">
        <v>1394</v>
      </c>
      <c r="D1208" s="12">
        <v>37</v>
      </c>
      <c r="E1208" s="13">
        <v>4.5880000000000001</v>
      </c>
    </row>
    <row r="1209" spans="1:5">
      <c r="A1209" s="2" t="s">
        <v>1430</v>
      </c>
      <c r="B1209" s="11" t="s">
        <v>555</v>
      </c>
      <c r="C1209" s="2" t="s">
        <v>1394</v>
      </c>
      <c r="D1209" s="12">
        <v>38</v>
      </c>
      <c r="E1209" s="13">
        <v>4.7119999999999997</v>
      </c>
    </row>
    <row r="1210" spans="1:5">
      <c r="A1210" s="2" t="s">
        <v>1431</v>
      </c>
      <c r="B1210" s="11" t="s">
        <v>555</v>
      </c>
      <c r="C1210" s="2" t="s">
        <v>1394</v>
      </c>
      <c r="D1210" s="12">
        <v>39</v>
      </c>
      <c r="E1210" s="13">
        <v>4.8360000000000003</v>
      </c>
    </row>
    <row r="1211" spans="1:5">
      <c r="A1211" s="2" t="s">
        <v>1432</v>
      </c>
      <c r="B1211" s="11" t="s">
        <v>555</v>
      </c>
      <c r="C1211" s="2" t="s">
        <v>1394</v>
      </c>
      <c r="D1211" s="12">
        <v>40</v>
      </c>
      <c r="E1211" s="13">
        <v>4.96</v>
      </c>
    </row>
    <row r="1212" spans="1:5">
      <c r="A1212" s="2" t="s">
        <v>1449</v>
      </c>
      <c r="B1212" s="2" t="s">
        <v>112</v>
      </c>
      <c r="C1212" s="2" t="s">
        <v>1450</v>
      </c>
      <c r="D1212" s="3" t="s">
        <v>11</v>
      </c>
      <c r="E1212" s="13">
        <v>0.64377682403433478</v>
      </c>
    </row>
    <row r="1213" spans="1:5">
      <c r="A1213" s="2" t="s">
        <v>1451</v>
      </c>
      <c r="B1213" s="2" t="s">
        <v>112</v>
      </c>
      <c r="C1213" s="2" t="s">
        <v>1450</v>
      </c>
      <c r="D1213" s="3" t="s">
        <v>19</v>
      </c>
      <c r="E1213" s="13">
        <v>0</v>
      </c>
    </row>
    <row r="1214" spans="1:5">
      <c r="A1214" s="2" t="s">
        <v>1452</v>
      </c>
      <c r="B1214" s="2" t="s">
        <v>555</v>
      </c>
      <c r="C1214" s="2" t="s">
        <v>1446</v>
      </c>
      <c r="D1214" s="3" t="s">
        <v>1453</v>
      </c>
      <c r="E1214" s="13">
        <v>0</v>
      </c>
    </row>
    <row r="1215" spans="1:5">
      <c r="A1215" s="2" t="s">
        <v>1454</v>
      </c>
      <c r="B1215" s="2" t="s">
        <v>555</v>
      </c>
      <c r="C1215" s="2" t="s">
        <v>1446</v>
      </c>
      <c r="D1215" s="3" t="s">
        <v>1455</v>
      </c>
      <c r="E1215" s="13">
        <v>0.77253218884120178</v>
      </c>
    </row>
    <row r="1216" spans="1:5">
      <c r="A1216" s="2" t="s">
        <v>1456</v>
      </c>
      <c r="B1216" s="2" t="s">
        <v>555</v>
      </c>
      <c r="C1216" s="2" t="s">
        <v>1446</v>
      </c>
      <c r="D1216" s="3" t="s">
        <v>1457</v>
      </c>
      <c r="E1216" s="13">
        <v>1.5450643776824036</v>
      </c>
    </row>
    <row r="1217" spans="1:5">
      <c r="A1217" s="2" t="s">
        <v>1458</v>
      </c>
      <c r="B1217" s="2" t="s">
        <v>555</v>
      </c>
      <c r="C1217" s="2" t="s">
        <v>1446</v>
      </c>
      <c r="D1217" s="3" t="s">
        <v>1459</v>
      </c>
      <c r="E1217" s="13">
        <v>0</v>
      </c>
    </row>
    <row r="1218" spans="1:5">
      <c r="A1218" s="2" t="s">
        <v>1460</v>
      </c>
      <c r="B1218" s="2" t="s">
        <v>555</v>
      </c>
      <c r="C1218" s="2" t="s">
        <v>1446</v>
      </c>
      <c r="D1218" s="3" t="s">
        <v>1461</v>
      </c>
      <c r="E1218" s="13">
        <v>1.0300429184549356</v>
      </c>
    </row>
    <row r="1219" spans="1:5">
      <c r="A1219" s="2" t="s">
        <v>1462</v>
      </c>
      <c r="B1219" s="2" t="s">
        <v>555</v>
      </c>
      <c r="C1219" s="2" t="s">
        <v>1446</v>
      </c>
      <c r="D1219" s="3" t="s">
        <v>1463</v>
      </c>
      <c r="E1219" s="13">
        <v>2.0600858369098711</v>
      </c>
    </row>
  </sheetData>
  <autoFilter ref="A1:E1211"/>
  <conditionalFormatting sqref="A2:A343 A345:A1171">
    <cfRule type="duplicateValues" dxfId="0" priority="33"/>
  </conditionalFormatting>
  <dataValidations disablePrompts="1" count="1">
    <dataValidation type="list" allowBlank="1" showInputMessage="1" showErrorMessage="1" sqref="C291">
      <formula1>"Yes,No"</formula1>
    </dataValidation>
  </dataValidation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ef38bf-d999-4a37-a0da-bac0466a6b4e">
      <Terms xmlns="http://schemas.microsoft.com/office/infopath/2007/PartnerControls"/>
    </lcf76f155ced4ddcb4097134ff3c332f>
    <Comments xmlns="f7ef38bf-d999-4a37-a0da-bac0466a6b4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22C719BADA847B0CE8B25E3277F06" ma:contentTypeVersion="13" ma:contentTypeDescription="Create a new document." ma:contentTypeScope="" ma:versionID="730d29e8744b1087def59708e1c33a2f">
  <xsd:schema xmlns:xsd="http://www.w3.org/2001/XMLSchema" xmlns:xs="http://www.w3.org/2001/XMLSchema" xmlns:p="http://schemas.microsoft.com/office/2006/metadata/properties" xmlns:ns2="f7ef38bf-d999-4a37-a0da-bac0466a6b4e" xmlns:ns3="3a726d0a-0b90-43f9-a6e6-6df130c8f79d" targetNamespace="http://schemas.microsoft.com/office/2006/metadata/properties" ma:root="true" ma:fieldsID="68989726fc4b3ad9b889534f7fe62e40" ns2:_="" ns3:_="">
    <xsd:import namespace="f7ef38bf-d999-4a37-a0da-bac0466a6b4e"/>
    <xsd:import namespace="3a726d0a-0b90-43f9-a6e6-6df130c8f7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Comment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ef38bf-d999-4a37-a0da-bac0466a6b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omments" ma:index="12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59b945a-6d39-4061-aee7-693cf25c01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726d0a-0b90-43f9-a6e6-6df130c8f7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5BB75F-BD60-4368-8404-F8741469761B}">
  <ds:schemaRefs>
    <ds:schemaRef ds:uri="http://schemas.microsoft.com/office/2006/metadata/properties"/>
    <ds:schemaRef ds:uri="http://schemas.microsoft.com/office/infopath/2007/PartnerControls"/>
    <ds:schemaRef ds:uri="f7ef38bf-d999-4a37-a0da-bac0466a6b4e"/>
  </ds:schemaRefs>
</ds:datastoreItem>
</file>

<file path=customXml/itemProps2.xml><?xml version="1.0" encoding="utf-8"?>
<ds:datastoreItem xmlns:ds="http://schemas.openxmlformats.org/officeDocument/2006/customXml" ds:itemID="{147A3799-50E6-47D7-85C7-3894CF7C62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ef38bf-d999-4a37-a0da-bac0466a6b4e"/>
    <ds:schemaRef ds:uri="3a726d0a-0b90-43f9-a6e6-6df130c8f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73EF79-994A-47B9-8C78-C558DC7288A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c3ba50a-93e8-411f-aceb-87183474575f}" enabled="1" method="Privileged" siteId="{3bfeb222-e42c-4535-aace-ea6f775136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Footwear-Detailed-Breakdown</vt:lpstr>
      <vt:lpstr>Data Validation</vt:lpstr>
      <vt:lpstr>TCT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Galindo-Brito, Javier</dc:creator>
  <cp:keywords/>
  <dc:description/>
  <cp:lastModifiedBy>Praveen Rajegowda</cp:lastModifiedBy>
  <cp:revision/>
  <dcterms:created xsi:type="dcterms:W3CDTF">2023-03-27T05:34:22Z</dcterms:created>
  <dcterms:modified xsi:type="dcterms:W3CDTF">2023-12-19T12:11:05Z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0x01010098422C719BADA847B0CE8B25E3277F06</vt:lpwstr>
  </property>
  <property fmtid="{D5CDD505-2E9C-101B-9397-08002B2CF9AE}" pid="3" name="MediaServiceImageTags">
    <vt:lpwstr/>
  </property>
</Properties>
</file>