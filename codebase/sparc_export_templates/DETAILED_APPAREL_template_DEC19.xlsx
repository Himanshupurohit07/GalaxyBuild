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s\ExportTemplates\"/>
    </mc:Choice>
  </mc:AlternateContent>
  <bookViews>
    <workbookView xWindow="-108" yWindow="-108" windowWidth="23256" windowHeight="12576" tabRatio="795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6" i="40" l="1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H20" i="40" s="1"/>
  <c r="T19" i="40" l="1"/>
  <c r="P220" i="40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  <c r="O20" i="40" l="1"/>
  <c r="K33" i="40" s="1"/>
  <c r="O21" i="40" l="1"/>
</calcChain>
</file>

<file path=xl/comments1.xml><?xml version="1.0" encoding="utf-8"?>
<comments xmlns="http://schemas.openxmlformats.org/spreadsheetml/2006/main">
  <authors>
    <author>Naveen Kumar Shivarathri</author>
    <author>Praveen Rajegowda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3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<sst xmlns="http://schemas.openxmlformats.org/spreadsheetml/2006/main" count="180" uniqueCount="151">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</sst>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44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169" fontId="25" fillId="4" borderId="19" xfId="0" applyNumberFormat="1" applyFont="1" applyFill="1" applyBorder="1" applyAlignment="1">
      <alignment horizontal="center" vertical="center" wrapText="1"/>
    </xf>
    <xf numFmtId="169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69" fontId="24" fillId="6" borderId="19" xfId="2" applyNumberFormat="1" applyFont="1" applyFill="1" applyBorder="1" applyAlignment="1">
      <alignment horizontal="center" vertical="center" wrapText="1"/>
    </xf>
    <xf numFmtId="168" fontId="25" fillId="4" borderId="19" xfId="4" applyNumberFormat="1" applyFont="1" applyFill="1" applyBorder="1" applyAlignment="1">
      <alignment horizontal="center" vertical="center" wrapText="1"/>
    </xf>
    <xf numFmtId="165" fontId="34" fillId="11" borderId="21" xfId="1" applyNumberFormat="1" applyFont="1" applyFill="1" applyBorder="1" applyAlignment="1">
      <alignment vertical="center"/>
    </xf>
    <xf numFmtId="165" fontId="34" fillId="11" borderId="21" xfId="1" applyNumberFormat="1" applyFont="1" applyFill="1" applyBorder="1" applyAlignment="1">
      <alignment horizontal="center" vertical="center"/>
    </xf>
    <xf numFmtId="165" fontId="34" fillId="11" borderId="28" xfId="1" applyNumberFormat="1" applyFont="1" applyFill="1" applyBorder="1" applyAlignment="1">
      <alignment horizontal="center" vertical="center"/>
    </xf>
    <xf numFmtId="44" fontId="34" fillId="11" borderId="21" xfId="9" applyFont="1" applyFill="1" applyBorder="1" applyAlignment="1">
      <alignment vertical="center"/>
    </xf>
    <xf numFmtId="44" fontId="34" fillId="11" borderId="28" xfId="9" applyFont="1" applyFill="1" applyBorder="1" applyAlignment="1">
      <alignment vertical="center"/>
    </xf>
    <xf numFmtId="44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44" fontId="59" fillId="11" borderId="21" xfId="9" applyFont="1" applyFill="1" applyBorder="1" applyAlignment="1">
      <alignment horizontal="right" vertical="center"/>
    </xf>
    <xf numFmtId="44" fontId="59" fillId="6" borderId="21" xfId="9" applyFont="1" applyFill="1" applyBorder="1" applyAlignment="1">
      <alignment vertical="center"/>
    </xf>
    <xf numFmtId="44" fontId="59" fillId="11" borderId="21" xfId="9" applyFont="1" applyFill="1" applyBorder="1" applyAlignment="1">
      <alignment vertical="center"/>
    </xf>
    <xf numFmtId="44" fontId="59" fillId="6" borderId="21" xfId="9" quotePrefix="1" applyFont="1" applyFill="1" applyBorder="1" applyAlignment="1">
      <alignment vertical="center"/>
    </xf>
    <xf numFmtId="44" fontId="59" fillId="11" borderId="28" xfId="9" applyFont="1" applyFill="1" applyBorder="1" applyAlignment="1">
      <alignment vertical="center"/>
    </xf>
    <xf numFmtId="44" fontId="34" fillId="4" borderId="25" xfId="9" applyFont="1" applyFill="1" applyBorder="1" applyAlignment="1">
      <alignment vertical="center"/>
    </xf>
    <xf numFmtId="44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4" fillId="13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/>
    <cellStyle name="Currency 2 2" xfId="17"/>
    <cellStyle name="Currency 3" xfId="16"/>
    <cellStyle name="Currency 3 3" xfId="19"/>
    <cellStyle name="Currency 4" xfId="18"/>
    <cellStyle name="Normal" xfId="0" builtinId="0"/>
    <cellStyle name="Normal 2" xfId="2"/>
    <cellStyle name="Normal 2 2" xfId="7"/>
    <cellStyle name="Normal 2 3" xfId="8"/>
    <cellStyle name="Normal 2 3 2" xfId="10"/>
    <cellStyle name="Normal 3" xfId="12"/>
    <cellStyle name="Normal 5" xfId="5"/>
    <cellStyle name="Normal 5 4" xfId="13"/>
    <cellStyle name="Normal 6" xfId="15"/>
    <cellStyle name="Percent" xfId="6" builtinId="5"/>
    <cellStyle name="Percent 2" xfId="4"/>
    <cellStyle name="Percent 2 2" xfId="11"/>
    <cellStyle name="Percent 2 3" xfId="14"/>
    <cellStyle name="Percent 3" xfId="20"/>
    <cellStyle name="Percent 3 2" xfId="21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220"/>
  <sheetViews>
    <sheetView showGridLines="0" tabSelected="1" topLeftCell="J189" zoomScale="66" zoomScaleNormal="50" workbookViewId="0">
      <selection activeCell="N210" sqref="N210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99</v>
      </c>
      <c r="H6" s="59"/>
      <c r="I6" s="107" t="s">
        <v>31</v>
      </c>
      <c r="J6" s="198" t="s">
        <v>101</v>
      </c>
      <c r="L6" s="57"/>
      <c r="M6" s="107"/>
      <c r="N6" s="108" t="s">
        <v>28</v>
      </c>
      <c r="O6" s="201" t="s">
        <v>104</v>
      </c>
      <c r="P6" s="59"/>
      <c r="Q6" s="59"/>
      <c r="R6" s="58"/>
      <c r="S6" s="42"/>
    </row>
    <row r="7" spans="1:27" s="17" customFormat="1" ht="21">
      <c r="C7" s="109" t="s">
        <v>44</v>
      </c>
      <c r="D7" s="285" t="s">
        <v>29</v>
      </c>
      <c r="F7" s="108" t="s">
        <v>45</v>
      </c>
      <c r="G7" s="199" t="s">
        <v>100</v>
      </c>
      <c r="H7" s="59"/>
      <c r="I7" s="108" t="s">
        <v>30</v>
      </c>
      <c r="J7" s="289" t="s">
        <v>102</v>
      </c>
      <c r="L7" s="59"/>
      <c r="M7" s="107"/>
      <c r="N7" s="108" t="s">
        <v>46</v>
      </c>
      <c r="O7" s="199" t="s">
        <v>105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94</v>
      </c>
      <c r="F8" s="105"/>
      <c r="G8" s="105"/>
      <c r="H8" s="59"/>
      <c r="I8" s="107" t="s">
        <v>48</v>
      </c>
      <c r="J8" s="289" t="s">
        <v>103</v>
      </c>
      <c r="L8" s="111"/>
      <c r="M8" s="107"/>
      <c r="N8" s="117" t="s">
        <v>50</v>
      </c>
      <c r="O8" s="200" t="s">
        <v>106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95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96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97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98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1" t="s">
        <v>89</v>
      </c>
      <c r="E17" s="291"/>
      <c r="F17" s="176"/>
      <c r="G17" s="291" t="s">
        <v>91</v>
      </c>
      <c r="H17" s="291"/>
      <c r="I17" s="176"/>
      <c r="J17" s="291" t="s">
        <v>54</v>
      </c>
      <c r="K17" s="291"/>
      <c r="L17" s="132"/>
      <c r="M17" s="133"/>
      <c r="N17" s="291" t="s">
        <v>92</v>
      </c>
      <c r="O17" s="291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87" t="s">
        <v>147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6" t="s">
        <v>129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88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7" t="s">
        <v>130</v>
      </c>
      <c r="L20" s="85"/>
      <c r="M20" s="88"/>
      <c r="N20" s="164" t="s">
        <v>21</v>
      </c>
      <c r="O20" s="206" t="str">
        <f>IF(K29&lt;&gt;0, K29, O19+K28)</f>
        <v>{*du|var:scUpchargeDiscountComments|ft:com.lcs.wc.sourcing.LCSCostSheet}</v>
      </c>
      <c r="P20" s="210"/>
      <c r="Q20" s="210"/>
      <c r="R20" s="180"/>
      <c r="S20" s="138"/>
      <c r="T20" s="286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8" t="s">
        <v>131</v>
      </c>
      <c r="L21" s="85"/>
      <c r="M21" s="88"/>
      <c r="N21" s="165" t="s">
        <v>23</v>
      </c>
      <c r="O21" s="207" t="e">
        <f>O20+K30+K32+K33</f>
        <v>#VALUE!</v>
      </c>
      <c r="P21" s="210"/>
      <c r="Q21" s="210"/>
      <c r="R21" s="180"/>
      <c r="S21" s="137"/>
      <c r="T21" s="286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146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79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6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107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79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6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108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7" t="s">
        <v>132</v>
      </c>
      <c r="L24" s="85"/>
      <c r="M24" s="88"/>
      <c r="N24" s="135"/>
      <c r="O24" s="136"/>
      <c r="P24" s="136"/>
      <c r="Q24" s="136"/>
      <c r="R24" s="182"/>
      <c r="S24" s="138"/>
      <c r="T24" s="286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1" t="s">
        <v>122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8" t="s">
        <v>133</v>
      </c>
      <c r="L25" s="85"/>
      <c r="M25" s="88"/>
      <c r="N25" s="135"/>
      <c r="O25" s="136"/>
      <c r="P25" s="136"/>
      <c r="Q25" s="136"/>
      <c r="R25" s="182"/>
      <c r="S25" s="138"/>
      <c r="T25" s="286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120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79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2" t="s">
        <v>121</v>
      </c>
      <c r="F27" s="59"/>
      <c r="G27" s="150" t="s">
        <v>11</v>
      </c>
      <c r="H27" s="283" t="s">
        <v>127</v>
      </c>
      <c r="I27" s="85"/>
      <c r="J27" s="124" t="s">
        <v>78</v>
      </c>
      <c r="K27" s="280" t="s">
        <v>134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3" t="s">
        <v>123</v>
      </c>
      <c r="F28" s="59"/>
      <c r="G28" s="81" t="s">
        <v>19</v>
      </c>
      <c r="H28" s="284" t="s">
        <v>128</v>
      </c>
      <c r="I28" s="85" t="s">
        <v>56</v>
      </c>
      <c r="J28" s="124" t="s">
        <v>80</v>
      </c>
      <c r="K28" s="280" t="s">
        <v>135</v>
      </c>
      <c r="L28" s="185"/>
      <c r="M28" s="88"/>
      <c r="N28" s="292"/>
      <c r="O28" s="292"/>
      <c r="P28" s="292"/>
      <c r="Q28" s="250"/>
      <c r="R28" s="182"/>
      <c r="S28" s="138"/>
    </row>
    <row r="29" spans="1:20" s="5" customFormat="1" ht="21">
      <c r="A29" s="12"/>
      <c r="C29" s="83"/>
      <c r="F29" s="59"/>
      <c r="I29" s="186"/>
      <c r="J29" s="125" t="s">
        <v>149</v>
      </c>
      <c r="K29" s="280" t="s">
        <v>150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20</v>
      </c>
      <c r="K30" s="280" t="s">
        <v>136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124</v>
      </c>
      <c r="F31" s="59"/>
      <c r="I31" s="86" t="s">
        <v>58</v>
      </c>
      <c r="J31" s="125" t="s">
        <v>22</v>
      </c>
      <c r="K31" s="280" t="s">
        <v>137</v>
      </c>
      <c r="L31" s="249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4" t="s">
        <v>125</v>
      </c>
      <c r="F32" s="59"/>
      <c r="G32" s="128"/>
      <c r="H32" s="151"/>
      <c r="I32" s="86" t="s">
        <v>59</v>
      </c>
      <c r="J32" s="125" t="s">
        <v>9</v>
      </c>
      <c r="K32" s="280" t="s">
        <v>148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5" t="s">
        <v>126</v>
      </c>
      <c r="F33" s="59"/>
      <c r="G33" s="82"/>
      <c r="H33" s="82"/>
      <c r="I33" s="87"/>
      <c r="J33" s="125" t="s">
        <v>10</v>
      </c>
      <c r="K33" s="281" t="e">
        <f>(K31/100)*(O20+K30)</f>
        <v>#VALUE!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.6" thickBot="1">
      <c r="A34" s="12"/>
      <c r="C34" s="83"/>
      <c r="F34" s="82"/>
      <c r="G34" s="82"/>
      <c r="H34" s="82"/>
      <c r="I34" s="87"/>
      <c r="J34" s="202" t="s">
        <v>81</v>
      </c>
      <c r="K34" s="282" t="s">
        <v>138</v>
      </c>
      <c r="L34" s="87"/>
      <c r="M34" s="88"/>
      <c r="N34" s="290"/>
      <c r="O34" s="290"/>
      <c r="P34" s="290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0"/>
      <c r="O38" s="290"/>
      <c r="P38" s="290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143</v>
      </c>
      <c r="R49" s="21"/>
      <c r="S49" s="38"/>
    </row>
    <row r="50" spans="3:19" s="23" customFormat="1" ht="139.80000000000001" thickBot="1">
      <c r="C50" s="212"/>
      <c r="D50" s="213" t="s">
        <v>109</v>
      </c>
      <c r="E50" s="214" t="s">
        <v>110</v>
      </c>
      <c r="F50" s="215" t="s">
        <v>111</v>
      </c>
      <c r="G50" s="213" t="s">
        <v>112</v>
      </c>
      <c r="H50" s="216" t="s">
        <v>113</v>
      </c>
      <c r="I50" s="216" t="s">
        <v>114</v>
      </c>
      <c r="J50" s="217" t="s">
        <v>115</v>
      </c>
      <c r="K50" s="25" t="s">
        <v>116</v>
      </c>
      <c r="L50" s="26" t="s">
        <v>117</v>
      </c>
      <c r="M50" s="251" t="s">
        <v>118</v>
      </c>
      <c r="N50" s="26" t="s">
        <v>119</v>
      </c>
      <c r="O50" s="265" t="e">
        <f>M50*(1+N50)</f>
        <v>#VALUE!</v>
      </c>
      <c r="P50" s="264" t="e">
        <f>IF(OR(K50&lt;&gt;0, K50&lt;&gt;""), (K50+L50)*O50, O50*(J50+L50))</f>
        <v>#VALUE!</v>
      </c>
      <c r="Q50" s="22" t="s">
        <v>144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5">
        <f t="shared" ref="O51:O114" si="0">M51*(1+N51)</f>
        <v>0</v>
      </c>
      <c r="P51" s="264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5">
        <f t="shared" si="0"/>
        <v>0</v>
      </c>
      <c r="P52" s="264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5">
        <f t="shared" si="0"/>
        <v>0</v>
      </c>
      <c r="P53" s="264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5">
        <f t="shared" si="0"/>
        <v>0</v>
      </c>
      <c r="P54" s="264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5">
        <f t="shared" si="0"/>
        <v>0</v>
      </c>
      <c r="P55" s="264">
        <f t="shared" si="1"/>
        <v>0</v>
      </c>
      <c r="Q55" s="22"/>
      <c r="R55" s="40"/>
      <c r="S55" s="39"/>
    </row>
    <row r="56" spans="3:19" s="23" customFormat="1" ht="18" thickBot="1">
      <c r="C56" s="255"/>
      <c r="D56" s="256"/>
      <c r="E56" s="257"/>
      <c r="F56" s="258"/>
      <c r="G56" s="256"/>
      <c r="H56" s="259"/>
      <c r="I56" s="259"/>
      <c r="J56" s="260"/>
      <c r="K56" s="261"/>
      <c r="L56" s="262"/>
      <c r="M56" s="263"/>
      <c r="N56" s="262"/>
      <c r="O56" s="265">
        <f t="shared" si="0"/>
        <v>0</v>
      </c>
      <c r="P56" s="264">
        <f t="shared" si="1"/>
        <v>0</v>
      </c>
      <c r="Q56" s="22"/>
      <c r="R56" s="40"/>
      <c r="S56" s="39"/>
    </row>
    <row r="57" spans="3:19" s="23" customFormat="1" ht="18" thickBot="1">
      <c r="C57" s="255"/>
      <c r="D57" s="256"/>
      <c r="E57" s="257"/>
      <c r="F57" s="258"/>
      <c r="G57" s="256"/>
      <c r="H57" s="259"/>
      <c r="I57" s="259"/>
      <c r="J57" s="260"/>
      <c r="K57" s="261"/>
      <c r="L57" s="262"/>
      <c r="M57" s="263"/>
      <c r="N57" s="262"/>
      <c r="O57" s="265">
        <f t="shared" si="0"/>
        <v>0</v>
      </c>
      <c r="P57" s="264">
        <f t="shared" si="1"/>
        <v>0</v>
      </c>
      <c r="Q57" s="22"/>
      <c r="R57" s="40"/>
      <c r="S57" s="39"/>
    </row>
    <row r="58" spans="3:19" s="23" customFormat="1" ht="18" thickBot="1">
      <c r="C58" s="255"/>
      <c r="D58" s="256"/>
      <c r="E58" s="257"/>
      <c r="F58" s="258"/>
      <c r="G58" s="256"/>
      <c r="H58" s="259"/>
      <c r="I58" s="259"/>
      <c r="J58" s="260"/>
      <c r="K58" s="261"/>
      <c r="L58" s="262"/>
      <c r="M58" s="263"/>
      <c r="N58" s="262"/>
      <c r="O58" s="265">
        <f t="shared" si="0"/>
        <v>0</v>
      </c>
      <c r="P58" s="264">
        <f t="shared" si="1"/>
        <v>0</v>
      </c>
      <c r="Q58" s="22"/>
      <c r="R58" s="40"/>
      <c r="S58" s="39"/>
    </row>
    <row r="59" spans="3:19" s="23" customFormat="1" ht="18" thickBot="1">
      <c r="C59" s="255"/>
      <c r="D59" s="256"/>
      <c r="E59" s="257"/>
      <c r="F59" s="258"/>
      <c r="G59" s="256"/>
      <c r="H59" s="259"/>
      <c r="I59" s="259"/>
      <c r="J59" s="260"/>
      <c r="K59" s="261"/>
      <c r="L59" s="262"/>
      <c r="M59" s="263"/>
      <c r="N59" s="262"/>
      <c r="O59" s="265">
        <f t="shared" si="0"/>
        <v>0</v>
      </c>
      <c r="P59" s="264">
        <f t="shared" si="1"/>
        <v>0</v>
      </c>
      <c r="Q59" s="22"/>
      <c r="R59" s="40"/>
      <c r="S59" s="39"/>
    </row>
    <row r="60" spans="3:19" s="23" customFormat="1" ht="18" thickBot="1">
      <c r="C60" s="255"/>
      <c r="D60" s="256"/>
      <c r="E60" s="257"/>
      <c r="F60" s="258"/>
      <c r="G60" s="256"/>
      <c r="H60" s="259"/>
      <c r="I60" s="259"/>
      <c r="J60" s="260"/>
      <c r="K60" s="261"/>
      <c r="L60" s="262"/>
      <c r="M60" s="263"/>
      <c r="N60" s="262"/>
      <c r="O60" s="265">
        <f t="shared" si="0"/>
        <v>0</v>
      </c>
      <c r="P60" s="264">
        <f t="shared" si="1"/>
        <v>0</v>
      </c>
      <c r="Q60" s="22"/>
      <c r="R60" s="40"/>
      <c r="S60" s="39"/>
    </row>
    <row r="61" spans="3:19" s="23" customFormat="1" ht="18" thickBot="1">
      <c r="C61" s="255"/>
      <c r="D61" s="256"/>
      <c r="E61" s="257"/>
      <c r="F61" s="258"/>
      <c r="G61" s="256"/>
      <c r="H61" s="259"/>
      <c r="I61" s="259"/>
      <c r="J61" s="260"/>
      <c r="K61" s="261"/>
      <c r="L61" s="262"/>
      <c r="M61" s="263"/>
      <c r="N61" s="262"/>
      <c r="O61" s="265">
        <f t="shared" si="0"/>
        <v>0</v>
      </c>
      <c r="P61" s="264">
        <f t="shared" si="1"/>
        <v>0</v>
      </c>
      <c r="Q61" s="22"/>
      <c r="R61" s="40"/>
      <c r="S61" s="39"/>
    </row>
    <row r="62" spans="3:19" s="23" customFormat="1" ht="18" thickBot="1">
      <c r="C62" s="255"/>
      <c r="D62" s="256"/>
      <c r="E62" s="257"/>
      <c r="F62" s="258"/>
      <c r="G62" s="256"/>
      <c r="H62" s="259"/>
      <c r="I62" s="259"/>
      <c r="J62" s="260"/>
      <c r="K62" s="261"/>
      <c r="L62" s="262"/>
      <c r="M62" s="263"/>
      <c r="N62" s="262"/>
      <c r="O62" s="265">
        <f t="shared" si="0"/>
        <v>0</v>
      </c>
      <c r="P62" s="264">
        <f t="shared" si="1"/>
        <v>0</v>
      </c>
      <c r="Q62" s="22"/>
      <c r="R62" s="40"/>
      <c r="S62" s="39"/>
    </row>
    <row r="63" spans="3:19" s="23" customFormat="1" ht="18" thickBot="1">
      <c r="C63" s="255"/>
      <c r="D63" s="256"/>
      <c r="E63" s="257"/>
      <c r="F63" s="258"/>
      <c r="G63" s="256"/>
      <c r="H63" s="259"/>
      <c r="I63" s="259"/>
      <c r="J63" s="260"/>
      <c r="K63" s="261"/>
      <c r="L63" s="262"/>
      <c r="M63" s="263"/>
      <c r="N63" s="262"/>
      <c r="O63" s="265">
        <f t="shared" si="0"/>
        <v>0</v>
      </c>
      <c r="P63" s="264">
        <f t="shared" si="1"/>
        <v>0</v>
      </c>
      <c r="Q63" s="22"/>
      <c r="R63" s="40"/>
      <c r="S63" s="39"/>
    </row>
    <row r="64" spans="3:19" s="23" customFormat="1" ht="18" thickBot="1">
      <c r="C64" s="255"/>
      <c r="D64" s="256"/>
      <c r="E64" s="257"/>
      <c r="F64" s="258"/>
      <c r="G64" s="256"/>
      <c r="H64" s="259"/>
      <c r="I64" s="259"/>
      <c r="J64" s="260"/>
      <c r="K64" s="261"/>
      <c r="L64" s="262"/>
      <c r="M64" s="263"/>
      <c r="N64" s="262"/>
      <c r="O64" s="265">
        <f t="shared" si="0"/>
        <v>0</v>
      </c>
      <c r="P64" s="264">
        <f t="shared" si="1"/>
        <v>0</v>
      </c>
      <c r="Q64" s="22"/>
      <c r="R64" s="40"/>
      <c r="S64" s="39"/>
    </row>
    <row r="65" spans="3:19" s="23" customFormat="1" ht="18" thickBot="1">
      <c r="C65" s="255"/>
      <c r="D65" s="256"/>
      <c r="E65" s="257"/>
      <c r="F65" s="258"/>
      <c r="G65" s="256"/>
      <c r="H65" s="259"/>
      <c r="I65" s="259"/>
      <c r="J65" s="260"/>
      <c r="K65" s="261"/>
      <c r="L65" s="262"/>
      <c r="M65" s="263"/>
      <c r="N65" s="262"/>
      <c r="O65" s="265">
        <f t="shared" si="0"/>
        <v>0</v>
      </c>
      <c r="P65" s="264">
        <f t="shared" si="1"/>
        <v>0</v>
      </c>
      <c r="Q65" s="22"/>
      <c r="R65" s="40"/>
      <c r="S65" s="39"/>
    </row>
    <row r="66" spans="3:19" s="23" customFormat="1" ht="18" thickBot="1">
      <c r="C66" s="255"/>
      <c r="D66" s="256"/>
      <c r="E66" s="257"/>
      <c r="F66" s="258"/>
      <c r="G66" s="256"/>
      <c r="H66" s="259"/>
      <c r="I66" s="259"/>
      <c r="J66" s="260"/>
      <c r="K66" s="261"/>
      <c r="L66" s="262"/>
      <c r="M66" s="263"/>
      <c r="N66" s="262"/>
      <c r="O66" s="265">
        <f t="shared" si="0"/>
        <v>0</v>
      </c>
      <c r="P66" s="264">
        <f t="shared" si="1"/>
        <v>0</v>
      </c>
      <c r="Q66" s="22"/>
      <c r="R66" s="40"/>
      <c r="S66" s="39"/>
    </row>
    <row r="67" spans="3:19" s="23" customFormat="1" ht="18" thickBot="1">
      <c r="C67" s="255"/>
      <c r="D67" s="256"/>
      <c r="E67" s="257"/>
      <c r="F67" s="258"/>
      <c r="G67" s="256"/>
      <c r="H67" s="259"/>
      <c r="I67" s="259"/>
      <c r="J67" s="260"/>
      <c r="K67" s="261"/>
      <c r="L67" s="262"/>
      <c r="M67" s="263"/>
      <c r="N67" s="262"/>
      <c r="O67" s="265">
        <f t="shared" si="0"/>
        <v>0</v>
      </c>
      <c r="P67" s="264">
        <f t="shared" si="1"/>
        <v>0</v>
      </c>
      <c r="Q67" s="22"/>
      <c r="R67" s="40"/>
      <c r="S67" s="39"/>
    </row>
    <row r="68" spans="3:19" s="23" customFormat="1" ht="18" thickBot="1">
      <c r="C68" s="255"/>
      <c r="D68" s="256"/>
      <c r="E68" s="257"/>
      <c r="F68" s="258"/>
      <c r="G68" s="256"/>
      <c r="H68" s="259"/>
      <c r="I68" s="259"/>
      <c r="J68" s="260"/>
      <c r="K68" s="261"/>
      <c r="L68" s="262"/>
      <c r="M68" s="263"/>
      <c r="N68" s="262"/>
      <c r="O68" s="265">
        <f t="shared" si="0"/>
        <v>0</v>
      </c>
      <c r="P68" s="264">
        <f t="shared" si="1"/>
        <v>0</v>
      </c>
      <c r="Q68" s="22"/>
      <c r="R68" s="40"/>
      <c r="S68" s="39"/>
    </row>
    <row r="69" spans="3:19" s="23" customFormat="1" ht="18" thickBot="1">
      <c r="C69" s="255"/>
      <c r="D69" s="256"/>
      <c r="E69" s="257"/>
      <c r="F69" s="258"/>
      <c r="G69" s="256"/>
      <c r="H69" s="259"/>
      <c r="I69" s="259"/>
      <c r="J69" s="260"/>
      <c r="K69" s="261"/>
      <c r="L69" s="262"/>
      <c r="M69" s="263"/>
      <c r="N69" s="262"/>
      <c r="O69" s="265">
        <f t="shared" si="0"/>
        <v>0</v>
      </c>
      <c r="P69" s="264">
        <f t="shared" si="1"/>
        <v>0</v>
      </c>
      <c r="Q69" s="22"/>
      <c r="R69" s="40"/>
      <c r="S69" s="39"/>
    </row>
    <row r="70" spans="3:19" s="23" customFormat="1" ht="18" thickBot="1">
      <c r="C70" s="255"/>
      <c r="D70" s="256"/>
      <c r="E70" s="257"/>
      <c r="F70" s="258"/>
      <c r="G70" s="256"/>
      <c r="H70" s="259"/>
      <c r="I70" s="259"/>
      <c r="J70" s="260"/>
      <c r="K70" s="261"/>
      <c r="L70" s="262"/>
      <c r="M70" s="263"/>
      <c r="N70" s="262"/>
      <c r="O70" s="265">
        <f t="shared" si="0"/>
        <v>0</v>
      </c>
      <c r="P70" s="264">
        <f t="shared" si="1"/>
        <v>0</v>
      </c>
      <c r="Q70" s="22"/>
      <c r="R70" s="40"/>
      <c r="S70" s="39"/>
    </row>
    <row r="71" spans="3:19" s="23" customFormat="1" ht="18" thickBot="1">
      <c r="C71" s="255"/>
      <c r="D71" s="256"/>
      <c r="E71" s="257"/>
      <c r="F71" s="258"/>
      <c r="G71" s="256"/>
      <c r="H71" s="259"/>
      <c r="I71" s="259"/>
      <c r="J71" s="260"/>
      <c r="K71" s="261"/>
      <c r="L71" s="262"/>
      <c r="M71" s="263"/>
      <c r="N71" s="262"/>
      <c r="O71" s="265">
        <f t="shared" si="0"/>
        <v>0</v>
      </c>
      <c r="P71" s="264">
        <f t="shared" si="1"/>
        <v>0</v>
      </c>
      <c r="Q71" s="22"/>
      <c r="R71" s="40"/>
      <c r="S71" s="39"/>
    </row>
    <row r="72" spans="3:19" s="23" customFormat="1" ht="18" thickBot="1">
      <c r="C72" s="255"/>
      <c r="D72" s="256"/>
      <c r="E72" s="257"/>
      <c r="F72" s="258"/>
      <c r="G72" s="256"/>
      <c r="H72" s="259"/>
      <c r="I72" s="259"/>
      <c r="J72" s="260"/>
      <c r="K72" s="261"/>
      <c r="L72" s="262"/>
      <c r="M72" s="263"/>
      <c r="N72" s="262"/>
      <c r="O72" s="265">
        <f t="shared" si="0"/>
        <v>0</v>
      </c>
      <c r="P72" s="264">
        <f t="shared" si="1"/>
        <v>0</v>
      </c>
      <c r="Q72" s="22"/>
      <c r="R72" s="40"/>
      <c r="S72" s="39"/>
    </row>
    <row r="73" spans="3:19" s="23" customFormat="1" ht="18" thickBot="1">
      <c r="C73" s="255"/>
      <c r="D73" s="256"/>
      <c r="E73" s="257"/>
      <c r="F73" s="258"/>
      <c r="G73" s="256"/>
      <c r="H73" s="259"/>
      <c r="I73" s="259"/>
      <c r="J73" s="260"/>
      <c r="K73" s="261"/>
      <c r="L73" s="262"/>
      <c r="M73" s="263"/>
      <c r="N73" s="262"/>
      <c r="O73" s="265">
        <f t="shared" si="0"/>
        <v>0</v>
      </c>
      <c r="P73" s="264">
        <f t="shared" si="1"/>
        <v>0</v>
      </c>
      <c r="Q73" s="22"/>
      <c r="R73" s="40"/>
      <c r="S73" s="39"/>
    </row>
    <row r="74" spans="3:19" s="23" customFormat="1" ht="18" thickBot="1">
      <c r="C74" s="255"/>
      <c r="D74" s="256"/>
      <c r="E74" s="257"/>
      <c r="F74" s="258"/>
      <c r="G74" s="256"/>
      <c r="H74" s="259"/>
      <c r="I74" s="259"/>
      <c r="J74" s="260"/>
      <c r="K74" s="261"/>
      <c r="L74" s="262"/>
      <c r="M74" s="263"/>
      <c r="N74" s="262"/>
      <c r="O74" s="265">
        <f t="shared" si="0"/>
        <v>0</v>
      </c>
      <c r="P74" s="264">
        <f t="shared" si="1"/>
        <v>0</v>
      </c>
      <c r="Q74" s="22"/>
      <c r="R74" s="40"/>
      <c r="S74" s="39"/>
    </row>
    <row r="75" spans="3:19" s="23" customFormat="1" ht="18" thickBot="1">
      <c r="C75" s="255"/>
      <c r="D75" s="256"/>
      <c r="E75" s="257"/>
      <c r="F75" s="258"/>
      <c r="G75" s="256"/>
      <c r="H75" s="259"/>
      <c r="I75" s="259"/>
      <c r="J75" s="260"/>
      <c r="K75" s="261"/>
      <c r="L75" s="262"/>
      <c r="M75" s="263"/>
      <c r="N75" s="262"/>
      <c r="O75" s="265">
        <f t="shared" si="0"/>
        <v>0</v>
      </c>
      <c r="P75" s="264">
        <f t="shared" si="1"/>
        <v>0</v>
      </c>
      <c r="Q75" s="22"/>
      <c r="R75" s="40"/>
      <c r="S75" s="39"/>
    </row>
    <row r="76" spans="3:19" s="23" customFormat="1" ht="18" thickBot="1">
      <c r="C76" s="255"/>
      <c r="D76" s="256"/>
      <c r="E76" s="257"/>
      <c r="F76" s="258"/>
      <c r="G76" s="256"/>
      <c r="H76" s="259"/>
      <c r="I76" s="259"/>
      <c r="J76" s="260"/>
      <c r="K76" s="261"/>
      <c r="L76" s="262"/>
      <c r="M76" s="263"/>
      <c r="N76" s="262"/>
      <c r="O76" s="265">
        <f t="shared" si="0"/>
        <v>0</v>
      </c>
      <c r="P76" s="264">
        <f t="shared" si="1"/>
        <v>0</v>
      </c>
      <c r="Q76" s="22"/>
      <c r="R76" s="40"/>
      <c r="S76" s="39"/>
    </row>
    <row r="77" spans="3:19" s="23" customFormat="1" ht="18" thickBot="1">
      <c r="C77" s="255"/>
      <c r="D77" s="256"/>
      <c r="E77" s="257"/>
      <c r="F77" s="258"/>
      <c r="G77" s="256"/>
      <c r="H77" s="259"/>
      <c r="I77" s="259"/>
      <c r="J77" s="260"/>
      <c r="K77" s="261"/>
      <c r="L77" s="262"/>
      <c r="M77" s="263"/>
      <c r="N77" s="262"/>
      <c r="O77" s="265">
        <f t="shared" si="0"/>
        <v>0</v>
      </c>
      <c r="P77" s="264">
        <f t="shared" si="1"/>
        <v>0</v>
      </c>
      <c r="Q77" s="22"/>
      <c r="R77" s="40"/>
      <c r="S77" s="39"/>
    </row>
    <row r="78" spans="3:19" s="23" customFormat="1" ht="18" thickBot="1">
      <c r="C78" s="255"/>
      <c r="D78" s="256"/>
      <c r="E78" s="257"/>
      <c r="F78" s="258"/>
      <c r="G78" s="256"/>
      <c r="H78" s="259"/>
      <c r="I78" s="259"/>
      <c r="J78" s="260"/>
      <c r="K78" s="261"/>
      <c r="L78" s="262"/>
      <c r="M78" s="263"/>
      <c r="N78" s="262"/>
      <c r="O78" s="265">
        <f t="shared" si="0"/>
        <v>0</v>
      </c>
      <c r="P78" s="264">
        <f t="shared" si="1"/>
        <v>0</v>
      </c>
      <c r="Q78" s="22"/>
      <c r="R78" s="40"/>
      <c r="S78" s="39"/>
    </row>
    <row r="79" spans="3:19" s="23" customFormat="1" ht="18" thickBot="1">
      <c r="C79" s="255"/>
      <c r="D79" s="256"/>
      <c r="E79" s="257"/>
      <c r="F79" s="258"/>
      <c r="G79" s="256"/>
      <c r="H79" s="259"/>
      <c r="I79" s="259"/>
      <c r="J79" s="260"/>
      <c r="K79" s="261"/>
      <c r="L79" s="262"/>
      <c r="M79" s="263"/>
      <c r="N79" s="262"/>
      <c r="O79" s="265">
        <f t="shared" si="0"/>
        <v>0</v>
      </c>
      <c r="P79" s="264">
        <f t="shared" si="1"/>
        <v>0</v>
      </c>
      <c r="Q79" s="22"/>
      <c r="R79" s="40"/>
      <c r="S79" s="39"/>
    </row>
    <row r="80" spans="3:19" s="23" customFormat="1" ht="18" thickBot="1">
      <c r="C80" s="255"/>
      <c r="D80" s="256"/>
      <c r="E80" s="257"/>
      <c r="F80" s="258"/>
      <c r="G80" s="256"/>
      <c r="H80" s="259"/>
      <c r="I80" s="259"/>
      <c r="J80" s="260"/>
      <c r="K80" s="261"/>
      <c r="L80" s="262"/>
      <c r="M80" s="263"/>
      <c r="N80" s="262"/>
      <c r="O80" s="265">
        <f t="shared" si="0"/>
        <v>0</v>
      </c>
      <c r="P80" s="264">
        <f t="shared" si="1"/>
        <v>0</v>
      </c>
      <c r="Q80" s="22"/>
      <c r="R80" s="40"/>
      <c r="S80" s="39"/>
    </row>
    <row r="81" spans="3:19" s="23" customFormat="1" ht="18" thickBot="1">
      <c r="C81" s="255"/>
      <c r="D81" s="256"/>
      <c r="E81" s="257"/>
      <c r="F81" s="258"/>
      <c r="G81" s="256"/>
      <c r="H81" s="259"/>
      <c r="I81" s="259"/>
      <c r="J81" s="260"/>
      <c r="K81" s="261"/>
      <c r="L81" s="262"/>
      <c r="M81" s="263"/>
      <c r="N81" s="262"/>
      <c r="O81" s="265">
        <f t="shared" si="0"/>
        <v>0</v>
      </c>
      <c r="P81" s="264">
        <f t="shared" si="1"/>
        <v>0</v>
      </c>
      <c r="Q81" s="22"/>
      <c r="R81" s="40"/>
      <c r="S81" s="39"/>
    </row>
    <row r="82" spans="3:19" s="23" customFormat="1" ht="18" thickBot="1">
      <c r="C82" s="255"/>
      <c r="D82" s="256"/>
      <c r="E82" s="257"/>
      <c r="F82" s="258"/>
      <c r="G82" s="256"/>
      <c r="H82" s="259"/>
      <c r="I82" s="259"/>
      <c r="J82" s="260"/>
      <c r="K82" s="261"/>
      <c r="L82" s="262"/>
      <c r="M82" s="263"/>
      <c r="N82" s="262"/>
      <c r="O82" s="265">
        <f t="shared" si="0"/>
        <v>0</v>
      </c>
      <c r="P82" s="264">
        <f t="shared" si="1"/>
        <v>0</v>
      </c>
      <c r="Q82" s="22"/>
      <c r="R82" s="40"/>
      <c r="S82" s="39"/>
    </row>
    <row r="83" spans="3:19" s="23" customFormat="1" ht="18" thickBot="1">
      <c r="C83" s="255"/>
      <c r="D83" s="256"/>
      <c r="E83" s="257"/>
      <c r="F83" s="258"/>
      <c r="G83" s="256"/>
      <c r="H83" s="259"/>
      <c r="I83" s="259"/>
      <c r="J83" s="260"/>
      <c r="K83" s="261"/>
      <c r="L83" s="262"/>
      <c r="M83" s="263"/>
      <c r="N83" s="262"/>
      <c r="O83" s="265">
        <f t="shared" si="0"/>
        <v>0</v>
      </c>
      <c r="P83" s="264">
        <f t="shared" si="1"/>
        <v>0</v>
      </c>
      <c r="Q83" s="22"/>
      <c r="R83" s="40"/>
      <c r="S83" s="39"/>
    </row>
    <row r="84" spans="3:19" s="23" customFormat="1" ht="18" thickBot="1">
      <c r="C84" s="255"/>
      <c r="D84" s="256"/>
      <c r="E84" s="257"/>
      <c r="F84" s="258"/>
      <c r="G84" s="256"/>
      <c r="H84" s="259"/>
      <c r="I84" s="259"/>
      <c r="J84" s="260"/>
      <c r="K84" s="261"/>
      <c r="L84" s="262"/>
      <c r="M84" s="263"/>
      <c r="N84" s="262"/>
      <c r="O84" s="265">
        <f t="shared" si="0"/>
        <v>0</v>
      </c>
      <c r="P84" s="264">
        <f t="shared" si="1"/>
        <v>0</v>
      </c>
      <c r="Q84" s="22"/>
      <c r="R84" s="40"/>
      <c r="S84" s="39"/>
    </row>
    <row r="85" spans="3:19" s="23" customFormat="1" ht="18" thickBot="1">
      <c r="C85" s="255"/>
      <c r="D85" s="256"/>
      <c r="E85" s="257"/>
      <c r="F85" s="258"/>
      <c r="G85" s="256"/>
      <c r="H85" s="259"/>
      <c r="I85" s="259"/>
      <c r="J85" s="260"/>
      <c r="K85" s="261"/>
      <c r="L85" s="262"/>
      <c r="M85" s="263"/>
      <c r="N85" s="262"/>
      <c r="O85" s="265">
        <f t="shared" si="0"/>
        <v>0</v>
      </c>
      <c r="P85" s="264">
        <f t="shared" si="1"/>
        <v>0</v>
      </c>
      <c r="Q85" s="22"/>
      <c r="R85" s="40"/>
      <c r="S85" s="39"/>
    </row>
    <row r="86" spans="3:19" s="23" customFormat="1" ht="18" thickBot="1">
      <c r="C86" s="255"/>
      <c r="D86" s="256"/>
      <c r="E86" s="257"/>
      <c r="F86" s="258"/>
      <c r="G86" s="256"/>
      <c r="H86" s="259"/>
      <c r="I86" s="259"/>
      <c r="J86" s="260"/>
      <c r="K86" s="261"/>
      <c r="L86" s="262"/>
      <c r="M86" s="263"/>
      <c r="N86" s="262"/>
      <c r="O86" s="265">
        <f t="shared" si="0"/>
        <v>0</v>
      </c>
      <c r="P86" s="264">
        <f t="shared" si="1"/>
        <v>0</v>
      </c>
      <c r="Q86" s="22"/>
      <c r="R86" s="40"/>
      <c r="S86" s="39"/>
    </row>
    <row r="87" spans="3:19" s="23" customFormat="1" ht="18" thickBot="1">
      <c r="C87" s="255"/>
      <c r="D87" s="256"/>
      <c r="E87" s="257"/>
      <c r="F87" s="258"/>
      <c r="G87" s="256"/>
      <c r="H87" s="259"/>
      <c r="I87" s="259"/>
      <c r="J87" s="260"/>
      <c r="K87" s="261"/>
      <c r="L87" s="262"/>
      <c r="M87" s="263"/>
      <c r="N87" s="262"/>
      <c r="O87" s="265">
        <f t="shared" si="0"/>
        <v>0</v>
      </c>
      <c r="P87" s="264">
        <f t="shared" si="1"/>
        <v>0</v>
      </c>
      <c r="Q87" s="22"/>
      <c r="R87" s="40"/>
      <c r="S87" s="39"/>
    </row>
    <row r="88" spans="3:19" s="23" customFormat="1" ht="18" thickBot="1">
      <c r="C88" s="255"/>
      <c r="D88" s="256"/>
      <c r="E88" s="257"/>
      <c r="F88" s="258"/>
      <c r="G88" s="256"/>
      <c r="H88" s="259"/>
      <c r="I88" s="259"/>
      <c r="J88" s="260"/>
      <c r="K88" s="261"/>
      <c r="L88" s="262"/>
      <c r="M88" s="263"/>
      <c r="N88" s="262"/>
      <c r="O88" s="265">
        <f t="shared" si="0"/>
        <v>0</v>
      </c>
      <c r="P88" s="264">
        <f t="shared" si="1"/>
        <v>0</v>
      </c>
      <c r="Q88" s="22"/>
      <c r="R88" s="40"/>
      <c r="S88" s="39"/>
    </row>
    <row r="89" spans="3:19" s="23" customFormat="1" ht="18" thickBot="1">
      <c r="C89" s="255"/>
      <c r="D89" s="256"/>
      <c r="E89" s="257"/>
      <c r="F89" s="258"/>
      <c r="G89" s="256"/>
      <c r="H89" s="259"/>
      <c r="I89" s="259"/>
      <c r="J89" s="260"/>
      <c r="K89" s="261"/>
      <c r="L89" s="262"/>
      <c r="M89" s="263"/>
      <c r="N89" s="262"/>
      <c r="O89" s="265">
        <f t="shared" si="0"/>
        <v>0</v>
      </c>
      <c r="P89" s="264">
        <f t="shared" si="1"/>
        <v>0</v>
      </c>
      <c r="Q89" s="22"/>
      <c r="R89" s="40"/>
      <c r="S89" s="39"/>
    </row>
    <row r="90" spans="3:19" s="23" customFormat="1" ht="18" thickBot="1">
      <c r="C90" s="255"/>
      <c r="D90" s="256"/>
      <c r="E90" s="257"/>
      <c r="F90" s="258"/>
      <c r="G90" s="256"/>
      <c r="H90" s="259"/>
      <c r="I90" s="259"/>
      <c r="J90" s="260"/>
      <c r="K90" s="261"/>
      <c r="L90" s="262"/>
      <c r="M90" s="263"/>
      <c r="N90" s="262"/>
      <c r="O90" s="265">
        <f t="shared" si="0"/>
        <v>0</v>
      </c>
      <c r="P90" s="264">
        <f t="shared" si="1"/>
        <v>0</v>
      </c>
      <c r="Q90" s="22"/>
      <c r="R90" s="40"/>
      <c r="S90" s="39"/>
    </row>
    <row r="91" spans="3:19" s="23" customFormat="1" ht="18" thickBot="1">
      <c r="C91" s="255"/>
      <c r="D91" s="256"/>
      <c r="E91" s="257"/>
      <c r="F91" s="258"/>
      <c r="G91" s="256"/>
      <c r="H91" s="259"/>
      <c r="I91" s="259"/>
      <c r="J91" s="260"/>
      <c r="K91" s="261"/>
      <c r="L91" s="262"/>
      <c r="M91" s="263"/>
      <c r="N91" s="262"/>
      <c r="O91" s="265">
        <f t="shared" si="0"/>
        <v>0</v>
      </c>
      <c r="P91" s="264">
        <f t="shared" si="1"/>
        <v>0</v>
      </c>
      <c r="Q91" s="22"/>
      <c r="R91" s="40"/>
      <c r="S91" s="39"/>
    </row>
    <row r="92" spans="3:19" s="23" customFormat="1" ht="18" thickBot="1">
      <c r="C92" s="255"/>
      <c r="D92" s="256"/>
      <c r="E92" s="257"/>
      <c r="F92" s="258"/>
      <c r="G92" s="256"/>
      <c r="H92" s="259"/>
      <c r="I92" s="259"/>
      <c r="J92" s="260"/>
      <c r="K92" s="261"/>
      <c r="L92" s="262"/>
      <c r="M92" s="263"/>
      <c r="N92" s="262"/>
      <c r="O92" s="265">
        <f t="shared" si="0"/>
        <v>0</v>
      </c>
      <c r="P92" s="264">
        <f t="shared" si="1"/>
        <v>0</v>
      </c>
      <c r="Q92" s="22"/>
      <c r="R92" s="40"/>
      <c r="S92" s="39"/>
    </row>
    <row r="93" spans="3:19" s="23" customFormat="1" ht="18" thickBot="1">
      <c r="C93" s="255"/>
      <c r="D93" s="256"/>
      <c r="E93" s="257"/>
      <c r="F93" s="258"/>
      <c r="G93" s="256"/>
      <c r="H93" s="259"/>
      <c r="I93" s="259"/>
      <c r="J93" s="260"/>
      <c r="K93" s="261"/>
      <c r="L93" s="262"/>
      <c r="M93" s="263"/>
      <c r="N93" s="262"/>
      <c r="O93" s="265">
        <f t="shared" si="0"/>
        <v>0</v>
      </c>
      <c r="P93" s="264">
        <f t="shared" si="1"/>
        <v>0</v>
      </c>
      <c r="Q93" s="22"/>
      <c r="R93" s="40"/>
      <c r="S93" s="39"/>
    </row>
    <row r="94" spans="3:19" s="23" customFormat="1" ht="18" thickBot="1">
      <c r="C94" s="255"/>
      <c r="D94" s="256"/>
      <c r="E94" s="257"/>
      <c r="F94" s="258"/>
      <c r="G94" s="256"/>
      <c r="H94" s="259"/>
      <c r="I94" s="259"/>
      <c r="J94" s="260"/>
      <c r="K94" s="261"/>
      <c r="L94" s="262"/>
      <c r="M94" s="263"/>
      <c r="N94" s="262"/>
      <c r="O94" s="265">
        <f t="shared" si="0"/>
        <v>0</v>
      </c>
      <c r="P94" s="264">
        <f t="shared" si="1"/>
        <v>0</v>
      </c>
      <c r="Q94" s="22"/>
      <c r="R94" s="40"/>
      <c r="S94" s="39"/>
    </row>
    <row r="95" spans="3:19" s="23" customFormat="1" ht="18" thickBot="1">
      <c r="C95" s="255"/>
      <c r="D95" s="256"/>
      <c r="E95" s="257"/>
      <c r="F95" s="258"/>
      <c r="G95" s="256"/>
      <c r="H95" s="259"/>
      <c r="I95" s="259"/>
      <c r="J95" s="260"/>
      <c r="K95" s="261"/>
      <c r="L95" s="262"/>
      <c r="M95" s="263"/>
      <c r="N95" s="262"/>
      <c r="O95" s="265">
        <f t="shared" si="0"/>
        <v>0</v>
      </c>
      <c r="P95" s="264">
        <f t="shared" si="1"/>
        <v>0</v>
      </c>
      <c r="Q95" s="22"/>
      <c r="R95" s="40"/>
      <c r="S95" s="39"/>
    </row>
    <row r="96" spans="3:19" s="23" customFormat="1" ht="18" thickBot="1">
      <c r="C96" s="255"/>
      <c r="D96" s="256"/>
      <c r="E96" s="257"/>
      <c r="F96" s="258"/>
      <c r="G96" s="256"/>
      <c r="H96" s="259"/>
      <c r="I96" s="259"/>
      <c r="J96" s="260"/>
      <c r="K96" s="261"/>
      <c r="L96" s="262"/>
      <c r="M96" s="263"/>
      <c r="N96" s="262"/>
      <c r="O96" s="265">
        <f t="shared" si="0"/>
        <v>0</v>
      </c>
      <c r="P96" s="264">
        <f t="shared" si="1"/>
        <v>0</v>
      </c>
      <c r="Q96" s="22"/>
      <c r="R96" s="40"/>
      <c r="S96" s="39"/>
    </row>
    <row r="97" spans="3:19" s="23" customFormat="1" ht="18" thickBot="1">
      <c r="C97" s="255"/>
      <c r="D97" s="256"/>
      <c r="E97" s="257"/>
      <c r="F97" s="258"/>
      <c r="G97" s="256"/>
      <c r="H97" s="259"/>
      <c r="I97" s="259"/>
      <c r="J97" s="260"/>
      <c r="K97" s="261"/>
      <c r="L97" s="262"/>
      <c r="M97" s="263"/>
      <c r="N97" s="262"/>
      <c r="O97" s="265">
        <f t="shared" si="0"/>
        <v>0</v>
      </c>
      <c r="P97" s="264">
        <f t="shared" si="1"/>
        <v>0</v>
      </c>
      <c r="Q97" s="22"/>
      <c r="R97" s="40"/>
      <c r="S97" s="39"/>
    </row>
    <row r="98" spans="3:19" s="23" customFormat="1" ht="18" thickBot="1">
      <c r="C98" s="255"/>
      <c r="D98" s="256"/>
      <c r="E98" s="257"/>
      <c r="F98" s="258"/>
      <c r="G98" s="256"/>
      <c r="H98" s="259"/>
      <c r="I98" s="259"/>
      <c r="J98" s="260"/>
      <c r="K98" s="261"/>
      <c r="L98" s="262"/>
      <c r="M98" s="263"/>
      <c r="N98" s="262"/>
      <c r="O98" s="265">
        <f t="shared" si="0"/>
        <v>0</v>
      </c>
      <c r="P98" s="264">
        <f t="shared" si="1"/>
        <v>0</v>
      </c>
      <c r="Q98" s="22"/>
      <c r="R98" s="40"/>
      <c r="S98" s="39"/>
    </row>
    <row r="99" spans="3:19" s="23" customFormat="1" ht="18" thickBot="1">
      <c r="C99" s="255"/>
      <c r="D99" s="256"/>
      <c r="E99" s="257"/>
      <c r="F99" s="258"/>
      <c r="G99" s="256"/>
      <c r="H99" s="259"/>
      <c r="I99" s="259"/>
      <c r="J99" s="260"/>
      <c r="K99" s="261"/>
      <c r="L99" s="262"/>
      <c r="M99" s="263"/>
      <c r="N99" s="262"/>
      <c r="O99" s="265">
        <f t="shared" si="0"/>
        <v>0</v>
      </c>
      <c r="P99" s="264">
        <f t="shared" si="1"/>
        <v>0</v>
      </c>
      <c r="Q99" s="22"/>
      <c r="R99" s="40"/>
      <c r="S99" s="39"/>
    </row>
    <row r="100" spans="3:19" s="23" customFormat="1" ht="18" thickBot="1">
      <c r="C100" s="255"/>
      <c r="D100" s="256"/>
      <c r="E100" s="257"/>
      <c r="F100" s="258"/>
      <c r="G100" s="256"/>
      <c r="H100" s="259"/>
      <c r="I100" s="259"/>
      <c r="J100" s="260"/>
      <c r="K100" s="261"/>
      <c r="L100" s="262"/>
      <c r="M100" s="263"/>
      <c r="N100" s="262"/>
      <c r="O100" s="265">
        <f t="shared" si="0"/>
        <v>0</v>
      </c>
      <c r="P100" s="264">
        <f t="shared" si="1"/>
        <v>0</v>
      </c>
      <c r="Q100" s="22"/>
      <c r="R100" s="40"/>
      <c r="S100" s="39"/>
    </row>
    <row r="101" spans="3:19" s="23" customFormat="1" ht="18" thickBot="1">
      <c r="C101" s="255"/>
      <c r="D101" s="256"/>
      <c r="E101" s="257"/>
      <c r="F101" s="258"/>
      <c r="G101" s="256"/>
      <c r="H101" s="259"/>
      <c r="I101" s="259"/>
      <c r="J101" s="260"/>
      <c r="K101" s="261"/>
      <c r="L101" s="262"/>
      <c r="M101" s="263"/>
      <c r="N101" s="262"/>
      <c r="O101" s="265">
        <f t="shared" si="0"/>
        <v>0</v>
      </c>
      <c r="P101" s="264">
        <f t="shared" si="1"/>
        <v>0</v>
      </c>
      <c r="Q101" s="22"/>
      <c r="R101" s="40"/>
      <c r="S101" s="39"/>
    </row>
    <row r="102" spans="3:19" s="23" customFormat="1" ht="18" thickBot="1">
      <c r="C102" s="255"/>
      <c r="D102" s="256"/>
      <c r="E102" s="257"/>
      <c r="F102" s="258"/>
      <c r="G102" s="256"/>
      <c r="H102" s="259"/>
      <c r="I102" s="259"/>
      <c r="J102" s="260"/>
      <c r="K102" s="261"/>
      <c r="L102" s="262"/>
      <c r="M102" s="263"/>
      <c r="N102" s="262"/>
      <c r="O102" s="265">
        <f t="shared" si="0"/>
        <v>0</v>
      </c>
      <c r="P102" s="264">
        <f t="shared" si="1"/>
        <v>0</v>
      </c>
      <c r="Q102" s="22"/>
      <c r="R102" s="40"/>
      <c r="S102" s="39"/>
    </row>
    <row r="103" spans="3:19" s="23" customFormat="1" ht="18" thickBot="1">
      <c r="C103" s="255"/>
      <c r="D103" s="256"/>
      <c r="E103" s="257"/>
      <c r="F103" s="258"/>
      <c r="G103" s="256"/>
      <c r="H103" s="259"/>
      <c r="I103" s="259"/>
      <c r="J103" s="260"/>
      <c r="K103" s="261"/>
      <c r="L103" s="262"/>
      <c r="M103" s="263"/>
      <c r="N103" s="262"/>
      <c r="O103" s="265">
        <f t="shared" si="0"/>
        <v>0</v>
      </c>
      <c r="P103" s="264">
        <f t="shared" si="1"/>
        <v>0</v>
      </c>
      <c r="Q103" s="22"/>
      <c r="R103" s="40"/>
      <c r="S103" s="39"/>
    </row>
    <row r="104" spans="3:19" s="23" customFormat="1" ht="18" thickBot="1">
      <c r="C104" s="255"/>
      <c r="D104" s="256"/>
      <c r="E104" s="257"/>
      <c r="F104" s="258"/>
      <c r="G104" s="256"/>
      <c r="H104" s="259"/>
      <c r="I104" s="259"/>
      <c r="J104" s="260"/>
      <c r="K104" s="261"/>
      <c r="L104" s="262"/>
      <c r="M104" s="263"/>
      <c r="N104" s="262"/>
      <c r="O104" s="265">
        <f t="shared" si="0"/>
        <v>0</v>
      </c>
      <c r="P104" s="264">
        <f t="shared" si="1"/>
        <v>0</v>
      </c>
      <c r="Q104" s="22"/>
      <c r="R104" s="40"/>
      <c r="S104" s="39"/>
    </row>
    <row r="105" spans="3:19" s="23" customFormat="1" ht="18" thickBot="1">
      <c r="C105" s="255"/>
      <c r="D105" s="256"/>
      <c r="E105" s="257"/>
      <c r="F105" s="258"/>
      <c r="G105" s="256"/>
      <c r="H105" s="259"/>
      <c r="I105" s="259"/>
      <c r="J105" s="260"/>
      <c r="K105" s="261"/>
      <c r="L105" s="262"/>
      <c r="M105" s="263"/>
      <c r="N105" s="262"/>
      <c r="O105" s="265">
        <f t="shared" si="0"/>
        <v>0</v>
      </c>
      <c r="P105" s="264">
        <f t="shared" si="1"/>
        <v>0</v>
      </c>
      <c r="Q105" s="22"/>
      <c r="R105" s="40"/>
      <c r="S105" s="39"/>
    </row>
    <row r="106" spans="3:19" s="23" customFormat="1" ht="18" thickBot="1">
      <c r="C106" s="255"/>
      <c r="D106" s="256"/>
      <c r="E106" s="257"/>
      <c r="F106" s="258"/>
      <c r="G106" s="256"/>
      <c r="H106" s="259"/>
      <c r="I106" s="259"/>
      <c r="J106" s="260"/>
      <c r="K106" s="261"/>
      <c r="L106" s="262"/>
      <c r="M106" s="263"/>
      <c r="N106" s="262"/>
      <c r="O106" s="265">
        <f t="shared" si="0"/>
        <v>0</v>
      </c>
      <c r="P106" s="264">
        <f t="shared" si="1"/>
        <v>0</v>
      </c>
      <c r="Q106" s="22"/>
      <c r="R106" s="40"/>
      <c r="S106" s="39"/>
    </row>
    <row r="107" spans="3:19" s="23" customFormat="1" ht="18" thickBot="1">
      <c r="C107" s="255"/>
      <c r="D107" s="256"/>
      <c r="E107" s="257"/>
      <c r="F107" s="258"/>
      <c r="G107" s="256"/>
      <c r="H107" s="259"/>
      <c r="I107" s="259"/>
      <c r="J107" s="260"/>
      <c r="K107" s="261"/>
      <c r="L107" s="262"/>
      <c r="M107" s="263"/>
      <c r="N107" s="262"/>
      <c r="O107" s="265">
        <f t="shared" si="0"/>
        <v>0</v>
      </c>
      <c r="P107" s="264">
        <f t="shared" si="1"/>
        <v>0</v>
      </c>
      <c r="Q107" s="22"/>
      <c r="R107" s="40"/>
      <c r="S107" s="39"/>
    </row>
    <row r="108" spans="3:19" s="23" customFormat="1" ht="18" thickBot="1">
      <c r="C108" s="255"/>
      <c r="D108" s="256"/>
      <c r="E108" s="257"/>
      <c r="F108" s="258"/>
      <c r="G108" s="256"/>
      <c r="H108" s="259"/>
      <c r="I108" s="259"/>
      <c r="J108" s="260"/>
      <c r="K108" s="261"/>
      <c r="L108" s="262"/>
      <c r="M108" s="263"/>
      <c r="N108" s="262"/>
      <c r="O108" s="265">
        <f t="shared" si="0"/>
        <v>0</v>
      </c>
      <c r="P108" s="264">
        <f t="shared" si="1"/>
        <v>0</v>
      </c>
      <c r="Q108" s="22"/>
      <c r="R108" s="40"/>
      <c r="S108" s="39"/>
    </row>
    <row r="109" spans="3:19" s="23" customFormat="1" ht="18" thickBot="1">
      <c r="C109" s="255"/>
      <c r="D109" s="256"/>
      <c r="E109" s="257"/>
      <c r="F109" s="258"/>
      <c r="G109" s="256"/>
      <c r="H109" s="259"/>
      <c r="I109" s="259"/>
      <c r="J109" s="260"/>
      <c r="K109" s="261"/>
      <c r="L109" s="262"/>
      <c r="M109" s="263"/>
      <c r="N109" s="262"/>
      <c r="O109" s="265">
        <f t="shared" si="0"/>
        <v>0</v>
      </c>
      <c r="P109" s="264">
        <f t="shared" si="1"/>
        <v>0</v>
      </c>
      <c r="Q109" s="22"/>
      <c r="R109" s="40"/>
      <c r="S109" s="39"/>
    </row>
    <row r="110" spans="3:19" s="23" customFormat="1" ht="18" thickBot="1">
      <c r="C110" s="255"/>
      <c r="D110" s="256"/>
      <c r="E110" s="257"/>
      <c r="F110" s="258"/>
      <c r="G110" s="256"/>
      <c r="H110" s="259"/>
      <c r="I110" s="259"/>
      <c r="J110" s="260"/>
      <c r="K110" s="261"/>
      <c r="L110" s="262"/>
      <c r="M110" s="263"/>
      <c r="N110" s="262"/>
      <c r="O110" s="265">
        <f t="shared" si="0"/>
        <v>0</v>
      </c>
      <c r="P110" s="264">
        <f t="shared" si="1"/>
        <v>0</v>
      </c>
      <c r="Q110" s="22"/>
      <c r="R110" s="40"/>
      <c r="S110" s="39"/>
    </row>
    <row r="111" spans="3:19" s="23" customFormat="1" ht="18" thickBot="1">
      <c r="C111" s="255"/>
      <c r="D111" s="256"/>
      <c r="E111" s="257"/>
      <c r="F111" s="258"/>
      <c r="G111" s="256"/>
      <c r="H111" s="259"/>
      <c r="I111" s="259"/>
      <c r="J111" s="260"/>
      <c r="K111" s="261"/>
      <c r="L111" s="262"/>
      <c r="M111" s="263"/>
      <c r="N111" s="262"/>
      <c r="O111" s="265">
        <f t="shared" si="0"/>
        <v>0</v>
      </c>
      <c r="P111" s="264">
        <f t="shared" si="1"/>
        <v>0</v>
      </c>
      <c r="Q111" s="22"/>
      <c r="R111" s="40"/>
      <c r="S111" s="39"/>
    </row>
    <row r="112" spans="3:19" s="23" customFormat="1" ht="18" thickBot="1">
      <c r="C112" s="255"/>
      <c r="D112" s="256"/>
      <c r="E112" s="257"/>
      <c r="F112" s="258"/>
      <c r="G112" s="256"/>
      <c r="H112" s="259"/>
      <c r="I112" s="259"/>
      <c r="J112" s="260"/>
      <c r="K112" s="261"/>
      <c r="L112" s="262"/>
      <c r="M112" s="263"/>
      <c r="N112" s="262"/>
      <c r="O112" s="265">
        <f t="shared" si="0"/>
        <v>0</v>
      </c>
      <c r="P112" s="264">
        <f t="shared" si="1"/>
        <v>0</v>
      </c>
      <c r="Q112" s="22"/>
      <c r="R112" s="40"/>
      <c r="S112" s="39"/>
    </row>
    <row r="113" spans="3:19" s="23" customFormat="1" ht="18" thickBot="1">
      <c r="C113" s="255"/>
      <c r="D113" s="256"/>
      <c r="E113" s="257"/>
      <c r="F113" s="258"/>
      <c r="G113" s="256"/>
      <c r="H113" s="259"/>
      <c r="I113" s="259"/>
      <c r="J113" s="260"/>
      <c r="K113" s="261"/>
      <c r="L113" s="262"/>
      <c r="M113" s="263"/>
      <c r="N113" s="262"/>
      <c r="O113" s="265">
        <f t="shared" si="0"/>
        <v>0</v>
      </c>
      <c r="P113" s="264">
        <f t="shared" si="1"/>
        <v>0</v>
      </c>
      <c r="Q113" s="22"/>
      <c r="R113" s="40"/>
      <c r="S113" s="39"/>
    </row>
    <row r="114" spans="3:19" s="23" customFormat="1" ht="18" thickBot="1">
      <c r="C114" s="255"/>
      <c r="D114" s="256"/>
      <c r="E114" s="257"/>
      <c r="F114" s="258"/>
      <c r="G114" s="256"/>
      <c r="H114" s="259"/>
      <c r="I114" s="259"/>
      <c r="J114" s="260"/>
      <c r="K114" s="261"/>
      <c r="L114" s="262"/>
      <c r="M114" s="263"/>
      <c r="N114" s="262"/>
      <c r="O114" s="265">
        <f t="shared" si="0"/>
        <v>0</v>
      </c>
      <c r="P114" s="264">
        <f t="shared" si="1"/>
        <v>0</v>
      </c>
      <c r="Q114" s="22"/>
      <c r="R114" s="40"/>
      <c r="S114" s="39"/>
    </row>
    <row r="115" spans="3:19" s="23" customFormat="1" ht="18" thickBot="1">
      <c r="C115" s="255"/>
      <c r="D115" s="256"/>
      <c r="E115" s="257"/>
      <c r="F115" s="258"/>
      <c r="G115" s="256"/>
      <c r="H115" s="259"/>
      <c r="I115" s="259"/>
      <c r="J115" s="260"/>
      <c r="K115" s="261"/>
      <c r="L115" s="262"/>
      <c r="M115" s="263"/>
      <c r="N115" s="262"/>
      <c r="O115" s="265">
        <f t="shared" ref="O115:O178" si="2">M115*(1+N115)</f>
        <v>0</v>
      </c>
      <c r="P115" s="264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5"/>
      <c r="D116" s="256"/>
      <c r="E116" s="257"/>
      <c r="F116" s="258"/>
      <c r="G116" s="256"/>
      <c r="H116" s="259"/>
      <c r="I116" s="259"/>
      <c r="J116" s="260"/>
      <c r="K116" s="261"/>
      <c r="L116" s="262"/>
      <c r="M116" s="263"/>
      <c r="N116" s="262"/>
      <c r="O116" s="265">
        <f t="shared" si="2"/>
        <v>0</v>
      </c>
      <c r="P116" s="264">
        <f t="shared" si="3"/>
        <v>0</v>
      </c>
      <c r="Q116" s="22"/>
      <c r="R116" s="40"/>
      <c r="S116" s="39"/>
    </row>
    <row r="117" spans="3:19" s="23" customFormat="1" ht="18" thickBot="1">
      <c r="C117" s="255"/>
      <c r="D117" s="256"/>
      <c r="E117" s="257"/>
      <c r="F117" s="258"/>
      <c r="G117" s="256"/>
      <c r="H117" s="259"/>
      <c r="I117" s="259"/>
      <c r="J117" s="260"/>
      <c r="K117" s="261"/>
      <c r="L117" s="262"/>
      <c r="M117" s="263"/>
      <c r="N117" s="262"/>
      <c r="O117" s="265">
        <f t="shared" si="2"/>
        <v>0</v>
      </c>
      <c r="P117" s="264">
        <f t="shared" si="3"/>
        <v>0</v>
      </c>
      <c r="Q117" s="22"/>
      <c r="R117" s="40"/>
      <c r="S117" s="39"/>
    </row>
    <row r="118" spans="3:19" s="23" customFormat="1" ht="18" thickBot="1">
      <c r="C118" s="255"/>
      <c r="D118" s="256"/>
      <c r="E118" s="257"/>
      <c r="F118" s="258"/>
      <c r="G118" s="256"/>
      <c r="H118" s="259"/>
      <c r="I118" s="259"/>
      <c r="J118" s="260"/>
      <c r="K118" s="261"/>
      <c r="L118" s="262"/>
      <c r="M118" s="263"/>
      <c r="N118" s="262"/>
      <c r="O118" s="265">
        <f t="shared" si="2"/>
        <v>0</v>
      </c>
      <c r="P118" s="264">
        <f t="shared" si="3"/>
        <v>0</v>
      </c>
      <c r="Q118" s="22"/>
      <c r="R118" s="40"/>
      <c r="S118" s="39"/>
    </row>
    <row r="119" spans="3:19" s="23" customFormat="1" ht="18" thickBot="1">
      <c r="C119" s="255"/>
      <c r="D119" s="256"/>
      <c r="E119" s="257"/>
      <c r="F119" s="258"/>
      <c r="G119" s="256"/>
      <c r="H119" s="259"/>
      <c r="I119" s="259"/>
      <c r="J119" s="260"/>
      <c r="K119" s="261"/>
      <c r="L119" s="262"/>
      <c r="M119" s="263"/>
      <c r="N119" s="262"/>
      <c r="O119" s="265">
        <f t="shared" si="2"/>
        <v>0</v>
      </c>
      <c r="P119" s="264">
        <f t="shared" si="3"/>
        <v>0</v>
      </c>
      <c r="Q119" s="22"/>
      <c r="R119" s="40"/>
      <c r="S119" s="39"/>
    </row>
    <row r="120" spans="3:19" s="23" customFormat="1" ht="18" thickBot="1">
      <c r="C120" s="255"/>
      <c r="D120" s="256"/>
      <c r="E120" s="257"/>
      <c r="F120" s="258"/>
      <c r="G120" s="256"/>
      <c r="H120" s="259"/>
      <c r="I120" s="259"/>
      <c r="J120" s="260"/>
      <c r="K120" s="261"/>
      <c r="L120" s="262"/>
      <c r="M120" s="263"/>
      <c r="N120" s="262"/>
      <c r="O120" s="265">
        <f t="shared" si="2"/>
        <v>0</v>
      </c>
      <c r="P120" s="264">
        <f t="shared" si="3"/>
        <v>0</v>
      </c>
      <c r="Q120" s="22"/>
      <c r="R120" s="40"/>
      <c r="S120" s="39"/>
    </row>
    <row r="121" spans="3:19" s="23" customFormat="1" ht="18" thickBot="1">
      <c r="C121" s="255"/>
      <c r="D121" s="256"/>
      <c r="E121" s="257"/>
      <c r="F121" s="258"/>
      <c r="G121" s="256"/>
      <c r="H121" s="259"/>
      <c r="I121" s="259"/>
      <c r="J121" s="260"/>
      <c r="K121" s="261"/>
      <c r="L121" s="262"/>
      <c r="M121" s="263"/>
      <c r="N121" s="262"/>
      <c r="O121" s="265">
        <f t="shared" si="2"/>
        <v>0</v>
      </c>
      <c r="P121" s="264">
        <f t="shared" si="3"/>
        <v>0</v>
      </c>
      <c r="Q121" s="22"/>
      <c r="R121" s="40"/>
      <c r="S121" s="39"/>
    </row>
    <row r="122" spans="3:19" s="23" customFormat="1" ht="18" thickBot="1">
      <c r="C122" s="255"/>
      <c r="D122" s="256"/>
      <c r="E122" s="257"/>
      <c r="F122" s="258"/>
      <c r="G122" s="256"/>
      <c r="H122" s="259"/>
      <c r="I122" s="259"/>
      <c r="J122" s="260"/>
      <c r="K122" s="261"/>
      <c r="L122" s="262"/>
      <c r="M122" s="263"/>
      <c r="N122" s="262"/>
      <c r="O122" s="265">
        <f t="shared" si="2"/>
        <v>0</v>
      </c>
      <c r="P122" s="264">
        <f t="shared" si="3"/>
        <v>0</v>
      </c>
      <c r="Q122" s="22"/>
      <c r="R122" s="40"/>
      <c r="S122" s="39"/>
    </row>
    <row r="123" spans="3:19" s="23" customFormat="1" ht="18" thickBot="1">
      <c r="C123" s="255"/>
      <c r="D123" s="256"/>
      <c r="E123" s="257"/>
      <c r="F123" s="258"/>
      <c r="G123" s="256"/>
      <c r="H123" s="259"/>
      <c r="I123" s="259"/>
      <c r="J123" s="260"/>
      <c r="K123" s="261"/>
      <c r="L123" s="262"/>
      <c r="M123" s="263"/>
      <c r="N123" s="262"/>
      <c r="O123" s="265">
        <f t="shared" si="2"/>
        <v>0</v>
      </c>
      <c r="P123" s="264">
        <f t="shared" si="3"/>
        <v>0</v>
      </c>
      <c r="Q123" s="22"/>
      <c r="R123" s="40"/>
      <c r="S123" s="39"/>
    </row>
    <row r="124" spans="3:19" s="23" customFormat="1" ht="18" thickBot="1">
      <c r="C124" s="255"/>
      <c r="D124" s="256"/>
      <c r="E124" s="257"/>
      <c r="F124" s="258"/>
      <c r="G124" s="256"/>
      <c r="H124" s="259"/>
      <c r="I124" s="259"/>
      <c r="J124" s="260"/>
      <c r="K124" s="261"/>
      <c r="L124" s="262"/>
      <c r="M124" s="263"/>
      <c r="N124" s="262"/>
      <c r="O124" s="265">
        <f t="shared" si="2"/>
        <v>0</v>
      </c>
      <c r="P124" s="264">
        <f t="shared" si="3"/>
        <v>0</v>
      </c>
      <c r="Q124" s="22"/>
      <c r="R124" s="40"/>
      <c r="S124" s="39"/>
    </row>
    <row r="125" spans="3:19" s="23" customFormat="1" ht="18" thickBot="1">
      <c r="C125" s="255"/>
      <c r="D125" s="256"/>
      <c r="E125" s="257"/>
      <c r="F125" s="258"/>
      <c r="G125" s="256"/>
      <c r="H125" s="259"/>
      <c r="I125" s="259"/>
      <c r="J125" s="260"/>
      <c r="K125" s="261"/>
      <c r="L125" s="262"/>
      <c r="M125" s="263"/>
      <c r="N125" s="262"/>
      <c r="O125" s="265">
        <f t="shared" si="2"/>
        <v>0</v>
      </c>
      <c r="P125" s="264">
        <f t="shared" si="3"/>
        <v>0</v>
      </c>
      <c r="Q125" s="22"/>
      <c r="R125" s="40"/>
      <c r="S125" s="39"/>
    </row>
    <row r="126" spans="3:19" s="23" customFormat="1" ht="18" thickBot="1">
      <c r="C126" s="255"/>
      <c r="D126" s="256"/>
      <c r="E126" s="257"/>
      <c r="F126" s="258"/>
      <c r="G126" s="256"/>
      <c r="H126" s="259"/>
      <c r="I126" s="259"/>
      <c r="J126" s="260"/>
      <c r="K126" s="261"/>
      <c r="L126" s="262"/>
      <c r="M126" s="263"/>
      <c r="N126" s="262"/>
      <c r="O126" s="265">
        <f t="shared" si="2"/>
        <v>0</v>
      </c>
      <c r="P126" s="264">
        <f t="shared" si="3"/>
        <v>0</v>
      </c>
      <c r="Q126" s="22"/>
      <c r="R126" s="40"/>
      <c r="S126" s="39"/>
    </row>
    <row r="127" spans="3:19" s="23" customFormat="1" ht="18" thickBot="1">
      <c r="C127" s="255"/>
      <c r="D127" s="256"/>
      <c r="E127" s="257"/>
      <c r="F127" s="258"/>
      <c r="G127" s="256"/>
      <c r="H127" s="259"/>
      <c r="I127" s="259"/>
      <c r="J127" s="260"/>
      <c r="K127" s="261"/>
      <c r="L127" s="262"/>
      <c r="M127" s="263"/>
      <c r="N127" s="262"/>
      <c r="O127" s="265">
        <f t="shared" si="2"/>
        <v>0</v>
      </c>
      <c r="P127" s="264">
        <f t="shared" si="3"/>
        <v>0</v>
      </c>
      <c r="Q127" s="22"/>
      <c r="R127" s="40"/>
      <c r="S127" s="39"/>
    </row>
    <row r="128" spans="3:19" s="23" customFormat="1" ht="18" thickBot="1">
      <c r="C128" s="255"/>
      <c r="D128" s="256"/>
      <c r="E128" s="257"/>
      <c r="F128" s="258"/>
      <c r="G128" s="256"/>
      <c r="H128" s="259"/>
      <c r="I128" s="259"/>
      <c r="J128" s="260"/>
      <c r="K128" s="261"/>
      <c r="L128" s="262"/>
      <c r="M128" s="263"/>
      <c r="N128" s="262"/>
      <c r="O128" s="265">
        <f t="shared" si="2"/>
        <v>0</v>
      </c>
      <c r="P128" s="264">
        <f t="shared" si="3"/>
        <v>0</v>
      </c>
      <c r="Q128" s="22"/>
      <c r="R128" s="40"/>
      <c r="S128" s="39"/>
    </row>
    <row r="129" spans="3:19" s="23" customFormat="1" ht="18" thickBot="1">
      <c r="C129" s="255"/>
      <c r="D129" s="256"/>
      <c r="E129" s="257"/>
      <c r="F129" s="258"/>
      <c r="G129" s="256"/>
      <c r="H129" s="259"/>
      <c r="I129" s="259"/>
      <c r="J129" s="260"/>
      <c r="K129" s="261"/>
      <c r="L129" s="262"/>
      <c r="M129" s="263"/>
      <c r="N129" s="262"/>
      <c r="O129" s="265">
        <f t="shared" si="2"/>
        <v>0</v>
      </c>
      <c r="P129" s="264">
        <f t="shared" si="3"/>
        <v>0</v>
      </c>
      <c r="Q129" s="22"/>
      <c r="R129" s="40"/>
      <c r="S129" s="39"/>
    </row>
    <row r="130" spans="3:19" s="23" customFormat="1" ht="18" thickBot="1">
      <c r="C130" s="255"/>
      <c r="D130" s="256"/>
      <c r="E130" s="257"/>
      <c r="F130" s="258"/>
      <c r="G130" s="256"/>
      <c r="H130" s="259"/>
      <c r="I130" s="259"/>
      <c r="J130" s="260"/>
      <c r="K130" s="261"/>
      <c r="L130" s="262"/>
      <c r="M130" s="263"/>
      <c r="N130" s="262"/>
      <c r="O130" s="265">
        <f t="shared" si="2"/>
        <v>0</v>
      </c>
      <c r="P130" s="264">
        <f t="shared" si="3"/>
        <v>0</v>
      </c>
      <c r="Q130" s="22"/>
      <c r="R130" s="40"/>
      <c r="S130" s="39"/>
    </row>
    <row r="131" spans="3:19" s="23" customFormat="1" ht="18" thickBot="1">
      <c r="C131" s="255"/>
      <c r="D131" s="256"/>
      <c r="E131" s="257"/>
      <c r="F131" s="258"/>
      <c r="G131" s="256"/>
      <c r="H131" s="259"/>
      <c r="I131" s="259"/>
      <c r="J131" s="260"/>
      <c r="K131" s="261"/>
      <c r="L131" s="262"/>
      <c r="M131" s="263"/>
      <c r="N131" s="262"/>
      <c r="O131" s="265">
        <f t="shared" si="2"/>
        <v>0</v>
      </c>
      <c r="P131" s="264">
        <f t="shared" si="3"/>
        <v>0</v>
      </c>
      <c r="Q131" s="22"/>
      <c r="R131" s="40"/>
      <c r="S131" s="39"/>
    </row>
    <row r="132" spans="3:19" s="23" customFormat="1" ht="18" thickBot="1">
      <c r="C132" s="255"/>
      <c r="D132" s="256"/>
      <c r="E132" s="257"/>
      <c r="F132" s="258"/>
      <c r="G132" s="256"/>
      <c r="H132" s="259"/>
      <c r="I132" s="259"/>
      <c r="J132" s="260"/>
      <c r="K132" s="261"/>
      <c r="L132" s="262"/>
      <c r="M132" s="263"/>
      <c r="N132" s="262"/>
      <c r="O132" s="265">
        <f t="shared" si="2"/>
        <v>0</v>
      </c>
      <c r="P132" s="264">
        <f t="shared" si="3"/>
        <v>0</v>
      </c>
      <c r="Q132" s="22"/>
      <c r="R132" s="40"/>
      <c r="S132" s="39"/>
    </row>
    <row r="133" spans="3:19" s="23" customFormat="1" ht="18" thickBot="1">
      <c r="C133" s="255"/>
      <c r="D133" s="256"/>
      <c r="E133" s="257"/>
      <c r="F133" s="258"/>
      <c r="G133" s="256"/>
      <c r="H133" s="259"/>
      <c r="I133" s="259"/>
      <c r="J133" s="260"/>
      <c r="K133" s="261"/>
      <c r="L133" s="262"/>
      <c r="M133" s="263"/>
      <c r="N133" s="262"/>
      <c r="O133" s="265">
        <f t="shared" si="2"/>
        <v>0</v>
      </c>
      <c r="P133" s="264">
        <f t="shared" si="3"/>
        <v>0</v>
      </c>
      <c r="Q133" s="22"/>
      <c r="R133" s="40"/>
      <c r="S133" s="39"/>
    </row>
    <row r="134" spans="3:19" s="23" customFormat="1" ht="18" thickBot="1">
      <c r="C134" s="255"/>
      <c r="D134" s="256"/>
      <c r="E134" s="257"/>
      <c r="F134" s="258"/>
      <c r="G134" s="256"/>
      <c r="H134" s="259"/>
      <c r="I134" s="259"/>
      <c r="J134" s="260"/>
      <c r="K134" s="261"/>
      <c r="L134" s="262"/>
      <c r="M134" s="263"/>
      <c r="N134" s="262"/>
      <c r="O134" s="265">
        <f t="shared" si="2"/>
        <v>0</v>
      </c>
      <c r="P134" s="264">
        <f t="shared" si="3"/>
        <v>0</v>
      </c>
      <c r="Q134" s="22"/>
      <c r="R134" s="40"/>
      <c r="S134" s="39"/>
    </row>
    <row r="135" spans="3:19" s="23" customFormat="1" ht="18" thickBot="1">
      <c r="C135" s="255"/>
      <c r="D135" s="256"/>
      <c r="E135" s="257"/>
      <c r="F135" s="258"/>
      <c r="G135" s="256"/>
      <c r="H135" s="259"/>
      <c r="I135" s="259"/>
      <c r="J135" s="260"/>
      <c r="K135" s="261"/>
      <c r="L135" s="262"/>
      <c r="M135" s="263"/>
      <c r="N135" s="262"/>
      <c r="O135" s="265">
        <f t="shared" si="2"/>
        <v>0</v>
      </c>
      <c r="P135" s="264">
        <f t="shared" si="3"/>
        <v>0</v>
      </c>
      <c r="Q135" s="22"/>
      <c r="R135" s="40"/>
      <c r="S135" s="39"/>
    </row>
    <row r="136" spans="3:19" s="23" customFormat="1" ht="18" thickBot="1">
      <c r="C136" s="255"/>
      <c r="D136" s="256"/>
      <c r="E136" s="257"/>
      <c r="F136" s="258"/>
      <c r="G136" s="256"/>
      <c r="H136" s="259"/>
      <c r="I136" s="259"/>
      <c r="J136" s="260"/>
      <c r="K136" s="261"/>
      <c r="L136" s="262"/>
      <c r="M136" s="263"/>
      <c r="N136" s="262"/>
      <c r="O136" s="265">
        <f t="shared" si="2"/>
        <v>0</v>
      </c>
      <c r="P136" s="264">
        <f t="shared" si="3"/>
        <v>0</v>
      </c>
      <c r="Q136" s="22"/>
      <c r="R136" s="40"/>
      <c r="S136" s="39"/>
    </row>
    <row r="137" spans="3:19" s="23" customFormat="1" ht="18" thickBot="1">
      <c r="C137" s="255"/>
      <c r="D137" s="256"/>
      <c r="E137" s="257"/>
      <c r="F137" s="258"/>
      <c r="G137" s="256"/>
      <c r="H137" s="259"/>
      <c r="I137" s="259"/>
      <c r="J137" s="260"/>
      <c r="K137" s="261"/>
      <c r="L137" s="262"/>
      <c r="M137" s="263"/>
      <c r="N137" s="262"/>
      <c r="O137" s="265">
        <f t="shared" si="2"/>
        <v>0</v>
      </c>
      <c r="P137" s="264">
        <f t="shared" si="3"/>
        <v>0</v>
      </c>
      <c r="Q137" s="22"/>
      <c r="R137" s="40"/>
      <c r="S137" s="39"/>
    </row>
    <row r="138" spans="3:19" s="23" customFormat="1" ht="18" thickBot="1">
      <c r="C138" s="255"/>
      <c r="D138" s="256"/>
      <c r="E138" s="257"/>
      <c r="F138" s="258"/>
      <c r="G138" s="256"/>
      <c r="H138" s="259"/>
      <c r="I138" s="259"/>
      <c r="J138" s="260"/>
      <c r="K138" s="261"/>
      <c r="L138" s="262"/>
      <c r="M138" s="263"/>
      <c r="N138" s="262"/>
      <c r="O138" s="265">
        <f t="shared" si="2"/>
        <v>0</v>
      </c>
      <c r="P138" s="264">
        <f t="shared" si="3"/>
        <v>0</v>
      </c>
      <c r="Q138" s="22"/>
      <c r="R138" s="40"/>
      <c r="S138" s="39"/>
    </row>
    <row r="139" spans="3:19" s="23" customFormat="1" ht="18" thickBot="1">
      <c r="C139" s="255"/>
      <c r="D139" s="256"/>
      <c r="E139" s="257"/>
      <c r="F139" s="258"/>
      <c r="G139" s="256"/>
      <c r="H139" s="259"/>
      <c r="I139" s="259"/>
      <c r="J139" s="260"/>
      <c r="K139" s="261"/>
      <c r="L139" s="262"/>
      <c r="M139" s="263"/>
      <c r="N139" s="262"/>
      <c r="O139" s="265">
        <f t="shared" si="2"/>
        <v>0</v>
      </c>
      <c r="P139" s="264">
        <f t="shared" si="3"/>
        <v>0</v>
      </c>
      <c r="Q139" s="22"/>
      <c r="R139" s="40"/>
      <c r="S139" s="39"/>
    </row>
    <row r="140" spans="3:19" s="23" customFormat="1" ht="18" thickBot="1">
      <c r="C140" s="255"/>
      <c r="D140" s="256"/>
      <c r="E140" s="257"/>
      <c r="F140" s="258"/>
      <c r="G140" s="256"/>
      <c r="H140" s="259"/>
      <c r="I140" s="259"/>
      <c r="J140" s="260"/>
      <c r="K140" s="261"/>
      <c r="L140" s="262"/>
      <c r="M140" s="263"/>
      <c r="N140" s="262"/>
      <c r="O140" s="265">
        <f t="shared" si="2"/>
        <v>0</v>
      </c>
      <c r="P140" s="264">
        <f t="shared" si="3"/>
        <v>0</v>
      </c>
      <c r="Q140" s="22"/>
      <c r="R140" s="40"/>
      <c r="S140" s="39"/>
    </row>
    <row r="141" spans="3:19" s="23" customFormat="1" ht="18" thickBot="1">
      <c r="C141" s="255"/>
      <c r="D141" s="256"/>
      <c r="E141" s="257"/>
      <c r="F141" s="258"/>
      <c r="G141" s="256"/>
      <c r="H141" s="259"/>
      <c r="I141" s="259"/>
      <c r="J141" s="260"/>
      <c r="K141" s="261"/>
      <c r="L141" s="262"/>
      <c r="M141" s="263"/>
      <c r="N141" s="262"/>
      <c r="O141" s="265">
        <f t="shared" si="2"/>
        <v>0</v>
      </c>
      <c r="P141" s="264">
        <f t="shared" si="3"/>
        <v>0</v>
      </c>
      <c r="Q141" s="22"/>
      <c r="R141" s="40"/>
      <c r="S141" s="39"/>
    </row>
    <row r="142" spans="3:19" s="23" customFormat="1" ht="18" thickBot="1">
      <c r="C142" s="255"/>
      <c r="D142" s="256"/>
      <c r="E142" s="257"/>
      <c r="F142" s="258"/>
      <c r="G142" s="256"/>
      <c r="H142" s="259"/>
      <c r="I142" s="259"/>
      <c r="J142" s="260"/>
      <c r="K142" s="261"/>
      <c r="L142" s="262"/>
      <c r="M142" s="263"/>
      <c r="N142" s="262"/>
      <c r="O142" s="265">
        <f t="shared" si="2"/>
        <v>0</v>
      </c>
      <c r="P142" s="264">
        <f t="shared" si="3"/>
        <v>0</v>
      </c>
      <c r="Q142" s="22"/>
      <c r="R142" s="40"/>
      <c r="S142" s="39"/>
    </row>
    <row r="143" spans="3:19" s="23" customFormat="1" ht="18" thickBot="1">
      <c r="C143" s="255"/>
      <c r="D143" s="256"/>
      <c r="E143" s="257"/>
      <c r="F143" s="258"/>
      <c r="G143" s="256"/>
      <c r="H143" s="259"/>
      <c r="I143" s="259"/>
      <c r="J143" s="260"/>
      <c r="K143" s="261"/>
      <c r="L143" s="262"/>
      <c r="M143" s="263"/>
      <c r="N143" s="262"/>
      <c r="O143" s="265">
        <f t="shared" si="2"/>
        <v>0</v>
      </c>
      <c r="P143" s="264">
        <f t="shared" si="3"/>
        <v>0</v>
      </c>
      <c r="Q143" s="22"/>
      <c r="R143" s="40"/>
      <c r="S143" s="39"/>
    </row>
    <row r="144" spans="3:19" s="23" customFormat="1" ht="18" thickBot="1">
      <c r="C144" s="255"/>
      <c r="D144" s="256"/>
      <c r="E144" s="257"/>
      <c r="F144" s="258"/>
      <c r="G144" s="256"/>
      <c r="H144" s="259"/>
      <c r="I144" s="259"/>
      <c r="J144" s="260"/>
      <c r="K144" s="261"/>
      <c r="L144" s="262"/>
      <c r="M144" s="263"/>
      <c r="N144" s="262"/>
      <c r="O144" s="265">
        <f t="shared" si="2"/>
        <v>0</v>
      </c>
      <c r="P144" s="264">
        <f t="shared" si="3"/>
        <v>0</v>
      </c>
      <c r="Q144" s="22"/>
      <c r="R144" s="40"/>
      <c r="S144" s="39"/>
    </row>
    <row r="145" spans="3:19" s="23" customFormat="1" ht="18" thickBot="1">
      <c r="C145" s="255"/>
      <c r="D145" s="256"/>
      <c r="E145" s="257"/>
      <c r="F145" s="258"/>
      <c r="G145" s="256"/>
      <c r="H145" s="259"/>
      <c r="I145" s="259"/>
      <c r="J145" s="260"/>
      <c r="K145" s="261"/>
      <c r="L145" s="262"/>
      <c r="M145" s="263"/>
      <c r="N145" s="262"/>
      <c r="O145" s="265">
        <f t="shared" si="2"/>
        <v>0</v>
      </c>
      <c r="P145" s="264">
        <f t="shared" si="3"/>
        <v>0</v>
      </c>
      <c r="Q145" s="22"/>
      <c r="R145" s="40"/>
      <c r="S145" s="39"/>
    </row>
    <row r="146" spans="3:19" s="23" customFormat="1" ht="18" thickBot="1">
      <c r="C146" s="255"/>
      <c r="D146" s="256"/>
      <c r="E146" s="257"/>
      <c r="F146" s="258"/>
      <c r="G146" s="256"/>
      <c r="H146" s="259"/>
      <c r="I146" s="259"/>
      <c r="J146" s="260"/>
      <c r="K146" s="261"/>
      <c r="L146" s="262"/>
      <c r="M146" s="263"/>
      <c r="N146" s="262"/>
      <c r="O146" s="265">
        <f t="shared" si="2"/>
        <v>0</v>
      </c>
      <c r="P146" s="264">
        <f t="shared" si="3"/>
        <v>0</v>
      </c>
      <c r="Q146" s="22"/>
      <c r="R146" s="40"/>
      <c r="S146" s="39"/>
    </row>
    <row r="147" spans="3:19" s="23" customFormat="1" ht="18" thickBot="1">
      <c r="C147" s="255"/>
      <c r="D147" s="256"/>
      <c r="E147" s="257"/>
      <c r="F147" s="258"/>
      <c r="G147" s="256"/>
      <c r="H147" s="259"/>
      <c r="I147" s="259"/>
      <c r="J147" s="260"/>
      <c r="K147" s="261"/>
      <c r="L147" s="262"/>
      <c r="M147" s="263"/>
      <c r="N147" s="262"/>
      <c r="O147" s="265">
        <f t="shared" si="2"/>
        <v>0</v>
      </c>
      <c r="P147" s="264">
        <f t="shared" si="3"/>
        <v>0</v>
      </c>
      <c r="Q147" s="22"/>
      <c r="R147" s="40"/>
      <c r="S147" s="39"/>
    </row>
    <row r="148" spans="3:19" s="23" customFormat="1" ht="18" thickBot="1">
      <c r="C148" s="255"/>
      <c r="D148" s="256"/>
      <c r="E148" s="257"/>
      <c r="F148" s="258"/>
      <c r="G148" s="256"/>
      <c r="H148" s="259"/>
      <c r="I148" s="259"/>
      <c r="J148" s="260"/>
      <c r="K148" s="261"/>
      <c r="L148" s="262"/>
      <c r="M148" s="263"/>
      <c r="N148" s="262"/>
      <c r="O148" s="265">
        <f t="shared" si="2"/>
        <v>0</v>
      </c>
      <c r="P148" s="264">
        <f t="shared" si="3"/>
        <v>0</v>
      </c>
      <c r="Q148" s="22"/>
      <c r="R148" s="40"/>
      <c r="S148" s="39"/>
    </row>
    <row r="149" spans="3:19" s="23" customFormat="1" ht="18" thickBot="1">
      <c r="C149" s="255"/>
      <c r="D149" s="256"/>
      <c r="E149" s="257"/>
      <c r="F149" s="258"/>
      <c r="G149" s="256"/>
      <c r="H149" s="259"/>
      <c r="I149" s="259"/>
      <c r="J149" s="260"/>
      <c r="K149" s="261"/>
      <c r="L149" s="262"/>
      <c r="M149" s="263"/>
      <c r="N149" s="262"/>
      <c r="O149" s="265">
        <f t="shared" si="2"/>
        <v>0</v>
      </c>
      <c r="P149" s="264">
        <f t="shared" si="3"/>
        <v>0</v>
      </c>
      <c r="Q149" s="22"/>
      <c r="R149" s="40"/>
      <c r="S149" s="39"/>
    </row>
    <row r="150" spans="3:19" s="23" customFormat="1" ht="18" thickBot="1">
      <c r="C150" s="255"/>
      <c r="D150" s="256"/>
      <c r="E150" s="257"/>
      <c r="F150" s="258"/>
      <c r="G150" s="256"/>
      <c r="H150" s="259"/>
      <c r="I150" s="259"/>
      <c r="J150" s="260"/>
      <c r="K150" s="261"/>
      <c r="L150" s="262"/>
      <c r="M150" s="263"/>
      <c r="N150" s="262"/>
      <c r="O150" s="265">
        <f t="shared" si="2"/>
        <v>0</v>
      </c>
      <c r="P150" s="264">
        <f t="shared" si="3"/>
        <v>0</v>
      </c>
      <c r="Q150" s="22"/>
      <c r="R150" s="40"/>
      <c r="S150" s="39"/>
    </row>
    <row r="151" spans="3:19" s="23" customFormat="1" ht="18" thickBot="1">
      <c r="C151" s="255"/>
      <c r="D151" s="256"/>
      <c r="E151" s="257"/>
      <c r="F151" s="258"/>
      <c r="G151" s="256"/>
      <c r="H151" s="259"/>
      <c r="I151" s="259"/>
      <c r="J151" s="260"/>
      <c r="K151" s="261"/>
      <c r="L151" s="262"/>
      <c r="M151" s="263"/>
      <c r="N151" s="262"/>
      <c r="O151" s="265">
        <f t="shared" si="2"/>
        <v>0</v>
      </c>
      <c r="P151" s="264">
        <f t="shared" si="3"/>
        <v>0</v>
      </c>
      <c r="Q151" s="22"/>
      <c r="R151" s="40"/>
      <c r="S151" s="39"/>
    </row>
    <row r="152" spans="3:19" s="23" customFormat="1" ht="18" thickBot="1">
      <c r="C152" s="255"/>
      <c r="D152" s="256"/>
      <c r="E152" s="257"/>
      <c r="F152" s="258"/>
      <c r="G152" s="256"/>
      <c r="H152" s="259"/>
      <c r="I152" s="259"/>
      <c r="J152" s="260"/>
      <c r="K152" s="261"/>
      <c r="L152" s="262"/>
      <c r="M152" s="263"/>
      <c r="N152" s="262"/>
      <c r="O152" s="265">
        <f t="shared" si="2"/>
        <v>0</v>
      </c>
      <c r="P152" s="264">
        <f t="shared" si="3"/>
        <v>0</v>
      </c>
      <c r="Q152" s="22"/>
      <c r="R152" s="40"/>
      <c r="S152" s="39"/>
    </row>
    <row r="153" spans="3:19" s="23" customFormat="1" ht="18" thickBot="1">
      <c r="C153" s="255"/>
      <c r="D153" s="256"/>
      <c r="E153" s="257"/>
      <c r="F153" s="258"/>
      <c r="G153" s="256"/>
      <c r="H153" s="259"/>
      <c r="I153" s="259"/>
      <c r="J153" s="260"/>
      <c r="K153" s="261"/>
      <c r="L153" s="262"/>
      <c r="M153" s="263"/>
      <c r="N153" s="262"/>
      <c r="O153" s="265">
        <f t="shared" si="2"/>
        <v>0</v>
      </c>
      <c r="P153" s="264">
        <f t="shared" si="3"/>
        <v>0</v>
      </c>
      <c r="Q153" s="22"/>
      <c r="R153" s="40"/>
      <c r="S153" s="39"/>
    </row>
    <row r="154" spans="3:19" s="23" customFormat="1" ht="18" thickBot="1">
      <c r="C154" s="255"/>
      <c r="D154" s="256"/>
      <c r="E154" s="257"/>
      <c r="F154" s="258"/>
      <c r="G154" s="256"/>
      <c r="H154" s="259"/>
      <c r="I154" s="259"/>
      <c r="J154" s="260"/>
      <c r="K154" s="261"/>
      <c r="L154" s="262"/>
      <c r="M154" s="263"/>
      <c r="N154" s="262"/>
      <c r="O154" s="265">
        <f t="shared" si="2"/>
        <v>0</v>
      </c>
      <c r="P154" s="264">
        <f t="shared" si="3"/>
        <v>0</v>
      </c>
      <c r="Q154" s="22"/>
      <c r="R154" s="40"/>
      <c r="S154" s="39"/>
    </row>
    <row r="155" spans="3:19" s="23" customFormat="1" ht="18" thickBot="1">
      <c r="C155" s="255"/>
      <c r="D155" s="256"/>
      <c r="E155" s="257"/>
      <c r="F155" s="258"/>
      <c r="G155" s="256"/>
      <c r="H155" s="259"/>
      <c r="I155" s="259"/>
      <c r="J155" s="260"/>
      <c r="K155" s="261"/>
      <c r="L155" s="262"/>
      <c r="M155" s="263"/>
      <c r="N155" s="262"/>
      <c r="O155" s="265">
        <f t="shared" si="2"/>
        <v>0</v>
      </c>
      <c r="P155" s="264">
        <f t="shared" si="3"/>
        <v>0</v>
      </c>
      <c r="Q155" s="22"/>
      <c r="R155" s="40"/>
      <c r="S155" s="39"/>
    </row>
    <row r="156" spans="3:19" s="23" customFormat="1" ht="18" thickBot="1">
      <c r="C156" s="255"/>
      <c r="D156" s="256"/>
      <c r="E156" s="257"/>
      <c r="F156" s="258"/>
      <c r="G156" s="256"/>
      <c r="H156" s="259"/>
      <c r="I156" s="259"/>
      <c r="J156" s="260"/>
      <c r="K156" s="261"/>
      <c r="L156" s="262"/>
      <c r="M156" s="263"/>
      <c r="N156" s="262"/>
      <c r="O156" s="265">
        <f t="shared" si="2"/>
        <v>0</v>
      </c>
      <c r="P156" s="264">
        <f t="shared" si="3"/>
        <v>0</v>
      </c>
      <c r="Q156" s="22"/>
      <c r="R156" s="40"/>
      <c r="S156" s="39"/>
    </row>
    <row r="157" spans="3:19" s="23" customFormat="1" ht="18" thickBot="1">
      <c r="C157" s="255"/>
      <c r="D157" s="256"/>
      <c r="E157" s="257"/>
      <c r="F157" s="258"/>
      <c r="G157" s="256"/>
      <c r="H157" s="259"/>
      <c r="I157" s="259"/>
      <c r="J157" s="260"/>
      <c r="K157" s="261"/>
      <c r="L157" s="262"/>
      <c r="M157" s="263"/>
      <c r="N157" s="262"/>
      <c r="O157" s="265">
        <f t="shared" si="2"/>
        <v>0</v>
      </c>
      <c r="P157" s="264">
        <f t="shared" si="3"/>
        <v>0</v>
      </c>
      <c r="Q157" s="22"/>
      <c r="R157" s="40"/>
      <c r="S157" s="39"/>
    </row>
    <row r="158" spans="3:19" s="23" customFormat="1" ht="18" thickBot="1">
      <c r="C158" s="255"/>
      <c r="D158" s="256"/>
      <c r="E158" s="257"/>
      <c r="F158" s="258"/>
      <c r="G158" s="256"/>
      <c r="H158" s="259"/>
      <c r="I158" s="259"/>
      <c r="J158" s="260"/>
      <c r="K158" s="261"/>
      <c r="L158" s="262"/>
      <c r="M158" s="263"/>
      <c r="N158" s="262"/>
      <c r="O158" s="265">
        <f t="shared" si="2"/>
        <v>0</v>
      </c>
      <c r="P158" s="264">
        <f t="shared" si="3"/>
        <v>0</v>
      </c>
      <c r="Q158" s="22"/>
      <c r="R158" s="40"/>
      <c r="S158" s="39"/>
    </row>
    <row r="159" spans="3:19" s="23" customFormat="1" ht="18" thickBot="1">
      <c r="C159" s="255"/>
      <c r="D159" s="256"/>
      <c r="E159" s="257"/>
      <c r="F159" s="258"/>
      <c r="G159" s="256"/>
      <c r="H159" s="259"/>
      <c r="I159" s="259"/>
      <c r="J159" s="260"/>
      <c r="K159" s="261"/>
      <c r="L159" s="262"/>
      <c r="M159" s="263"/>
      <c r="N159" s="262"/>
      <c r="O159" s="265">
        <f t="shared" si="2"/>
        <v>0</v>
      </c>
      <c r="P159" s="264">
        <f t="shared" si="3"/>
        <v>0</v>
      </c>
      <c r="Q159" s="22"/>
      <c r="R159" s="40"/>
      <c r="S159" s="39"/>
    </row>
    <row r="160" spans="3:19" s="23" customFormat="1" ht="18" thickBot="1">
      <c r="C160" s="255"/>
      <c r="D160" s="256"/>
      <c r="E160" s="257"/>
      <c r="F160" s="258"/>
      <c r="G160" s="256"/>
      <c r="H160" s="259"/>
      <c r="I160" s="259"/>
      <c r="J160" s="260"/>
      <c r="K160" s="261"/>
      <c r="L160" s="262"/>
      <c r="M160" s="263"/>
      <c r="N160" s="262"/>
      <c r="O160" s="265">
        <f t="shared" si="2"/>
        <v>0</v>
      </c>
      <c r="P160" s="264">
        <f t="shared" si="3"/>
        <v>0</v>
      </c>
      <c r="Q160" s="22"/>
      <c r="R160" s="40"/>
      <c r="S160" s="39"/>
    </row>
    <row r="161" spans="3:19" s="23" customFormat="1" ht="18" thickBot="1">
      <c r="C161" s="255"/>
      <c r="D161" s="256"/>
      <c r="E161" s="257"/>
      <c r="F161" s="258"/>
      <c r="G161" s="256"/>
      <c r="H161" s="259"/>
      <c r="I161" s="259"/>
      <c r="J161" s="260"/>
      <c r="K161" s="261"/>
      <c r="L161" s="262"/>
      <c r="M161" s="263"/>
      <c r="N161" s="262"/>
      <c r="O161" s="265">
        <f t="shared" si="2"/>
        <v>0</v>
      </c>
      <c r="P161" s="264">
        <f t="shared" si="3"/>
        <v>0</v>
      </c>
      <c r="Q161" s="22"/>
      <c r="R161" s="40"/>
      <c r="S161" s="39"/>
    </row>
    <row r="162" spans="3:19" s="23" customFormat="1" ht="18" thickBot="1">
      <c r="C162" s="255"/>
      <c r="D162" s="256"/>
      <c r="E162" s="257"/>
      <c r="F162" s="258"/>
      <c r="G162" s="256"/>
      <c r="H162" s="259"/>
      <c r="I162" s="259"/>
      <c r="J162" s="260"/>
      <c r="K162" s="261"/>
      <c r="L162" s="262"/>
      <c r="M162" s="263"/>
      <c r="N162" s="262"/>
      <c r="O162" s="265">
        <f t="shared" si="2"/>
        <v>0</v>
      </c>
      <c r="P162" s="264">
        <f t="shared" si="3"/>
        <v>0</v>
      </c>
      <c r="Q162" s="22"/>
      <c r="R162" s="40"/>
      <c r="S162" s="39"/>
    </row>
    <row r="163" spans="3:19" s="23" customFormat="1" ht="18" thickBot="1">
      <c r="C163" s="255"/>
      <c r="D163" s="256"/>
      <c r="E163" s="257"/>
      <c r="F163" s="258"/>
      <c r="G163" s="256"/>
      <c r="H163" s="259"/>
      <c r="I163" s="259"/>
      <c r="J163" s="260"/>
      <c r="K163" s="261"/>
      <c r="L163" s="262"/>
      <c r="M163" s="263"/>
      <c r="N163" s="262"/>
      <c r="O163" s="265">
        <f t="shared" si="2"/>
        <v>0</v>
      </c>
      <c r="P163" s="264">
        <f t="shared" si="3"/>
        <v>0</v>
      </c>
      <c r="Q163" s="22"/>
      <c r="R163" s="40"/>
      <c r="S163" s="39"/>
    </row>
    <row r="164" spans="3:19" s="23" customFormat="1" ht="18" thickBot="1">
      <c r="C164" s="255"/>
      <c r="D164" s="256"/>
      <c r="E164" s="257"/>
      <c r="F164" s="258"/>
      <c r="G164" s="256"/>
      <c r="H164" s="259"/>
      <c r="I164" s="259"/>
      <c r="J164" s="260"/>
      <c r="K164" s="261"/>
      <c r="L164" s="262"/>
      <c r="M164" s="263"/>
      <c r="N164" s="262"/>
      <c r="O164" s="265">
        <f t="shared" si="2"/>
        <v>0</v>
      </c>
      <c r="P164" s="264">
        <f t="shared" si="3"/>
        <v>0</v>
      </c>
      <c r="Q164" s="22"/>
      <c r="R164" s="40"/>
      <c r="S164" s="39"/>
    </row>
    <row r="165" spans="3:19" s="23" customFormat="1" ht="18" thickBot="1">
      <c r="C165" s="255"/>
      <c r="D165" s="256"/>
      <c r="E165" s="257"/>
      <c r="F165" s="258"/>
      <c r="G165" s="256"/>
      <c r="H165" s="259"/>
      <c r="I165" s="259"/>
      <c r="J165" s="260"/>
      <c r="K165" s="261"/>
      <c r="L165" s="262"/>
      <c r="M165" s="263"/>
      <c r="N165" s="262"/>
      <c r="O165" s="265">
        <f t="shared" si="2"/>
        <v>0</v>
      </c>
      <c r="P165" s="264">
        <f t="shared" si="3"/>
        <v>0</v>
      </c>
      <c r="Q165" s="22"/>
      <c r="R165" s="40"/>
      <c r="S165" s="39"/>
    </row>
    <row r="166" spans="3:19" s="23" customFormat="1" ht="18" thickBot="1">
      <c r="C166" s="255"/>
      <c r="D166" s="256"/>
      <c r="E166" s="257"/>
      <c r="F166" s="258"/>
      <c r="G166" s="256"/>
      <c r="H166" s="259"/>
      <c r="I166" s="259"/>
      <c r="J166" s="260"/>
      <c r="K166" s="261"/>
      <c r="L166" s="262"/>
      <c r="M166" s="263"/>
      <c r="N166" s="262"/>
      <c r="O166" s="265">
        <f t="shared" si="2"/>
        <v>0</v>
      </c>
      <c r="P166" s="264">
        <f t="shared" si="3"/>
        <v>0</v>
      </c>
      <c r="Q166" s="22"/>
      <c r="R166" s="40"/>
      <c r="S166" s="39"/>
    </row>
    <row r="167" spans="3:19" s="23" customFormat="1" ht="18" thickBot="1">
      <c r="C167" s="255"/>
      <c r="D167" s="256"/>
      <c r="E167" s="257"/>
      <c r="F167" s="258"/>
      <c r="G167" s="256"/>
      <c r="H167" s="259"/>
      <c r="I167" s="259"/>
      <c r="J167" s="260"/>
      <c r="K167" s="261"/>
      <c r="L167" s="262"/>
      <c r="M167" s="263"/>
      <c r="N167" s="262"/>
      <c r="O167" s="265">
        <f t="shared" si="2"/>
        <v>0</v>
      </c>
      <c r="P167" s="264">
        <f t="shared" si="3"/>
        <v>0</v>
      </c>
      <c r="Q167" s="22"/>
      <c r="R167" s="40"/>
      <c r="S167" s="39"/>
    </row>
    <row r="168" spans="3:19" s="23" customFormat="1" ht="18" thickBot="1">
      <c r="C168" s="255"/>
      <c r="D168" s="256"/>
      <c r="E168" s="257"/>
      <c r="F168" s="258"/>
      <c r="G168" s="256"/>
      <c r="H168" s="259"/>
      <c r="I168" s="259"/>
      <c r="J168" s="260"/>
      <c r="K168" s="261"/>
      <c r="L168" s="262"/>
      <c r="M168" s="263"/>
      <c r="N168" s="262"/>
      <c r="O168" s="265">
        <f t="shared" si="2"/>
        <v>0</v>
      </c>
      <c r="P168" s="264">
        <f t="shared" si="3"/>
        <v>0</v>
      </c>
      <c r="Q168" s="22"/>
      <c r="R168" s="40"/>
      <c r="S168" s="39"/>
    </row>
    <row r="169" spans="3:19" s="23" customFormat="1" ht="18" thickBot="1">
      <c r="C169" s="255"/>
      <c r="D169" s="256"/>
      <c r="E169" s="257"/>
      <c r="F169" s="258"/>
      <c r="G169" s="256"/>
      <c r="H169" s="259"/>
      <c r="I169" s="259"/>
      <c r="J169" s="260"/>
      <c r="K169" s="261"/>
      <c r="L169" s="262"/>
      <c r="M169" s="263"/>
      <c r="N169" s="262"/>
      <c r="O169" s="265">
        <f t="shared" si="2"/>
        <v>0</v>
      </c>
      <c r="P169" s="264">
        <f t="shared" si="3"/>
        <v>0</v>
      </c>
      <c r="Q169" s="22"/>
      <c r="R169" s="40"/>
      <c r="S169" s="39"/>
    </row>
    <row r="170" spans="3:19" s="23" customFormat="1" ht="18" thickBot="1">
      <c r="C170" s="255"/>
      <c r="D170" s="256"/>
      <c r="E170" s="257"/>
      <c r="F170" s="258"/>
      <c r="G170" s="256"/>
      <c r="H170" s="259"/>
      <c r="I170" s="259"/>
      <c r="J170" s="260"/>
      <c r="K170" s="261"/>
      <c r="L170" s="262"/>
      <c r="M170" s="263"/>
      <c r="N170" s="262"/>
      <c r="O170" s="265">
        <f t="shared" si="2"/>
        <v>0</v>
      </c>
      <c r="P170" s="264">
        <f t="shared" si="3"/>
        <v>0</v>
      </c>
      <c r="Q170" s="22"/>
      <c r="R170" s="40"/>
      <c r="S170" s="39"/>
    </row>
    <row r="171" spans="3:19" s="23" customFormat="1" ht="18" thickBot="1">
      <c r="C171" s="255"/>
      <c r="D171" s="256"/>
      <c r="E171" s="257"/>
      <c r="F171" s="258"/>
      <c r="G171" s="256"/>
      <c r="H171" s="259"/>
      <c r="I171" s="259"/>
      <c r="J171" s="260"/>
      <c r="K171" s="261"/>
      <c r="L171" s="262"/>
      <c r="M171" s="263"/>
      <c r="N171" s="262"/>
      <c r="O171" s="265">
        <f t="shared" si="2"/>
        <v>0</v>
      </c>
      <c r="P171" s="264">
        <f t="shared" si="3"/>
        <v>0</v>
      </c>
      <c r="Q171" s="22"/>
      <c r="R171" s="40"/>
      <c r="S171" s="39"/>
    </row>
    <row r="172" spans="3:19" s="23" customFormat="1" ht="18" thickBot="1">
      <c r="C172" s="255"/>
      <c r="D172" s="256"/>
      <c r="E172" s="257"/>
      <c r="F172" s="258"/>
      <c r="G172" s="256"/>
      <c r="H172" s="259"/>
      <c r="I172" s="259"/>
      <c r="J172" s="260"/>
      <c r="K172" s="261"/>
      <c r="L172" s="262"/>
      <c r="M172" s="263"/>
      <c r="N172" s="262"/>
      <c r="O172" s="265">
        <f t="shared" si="2"/>
        <v>0</v>
      </c>
      <c r="P172" s="264">
        <f t="shared" si="3"/>
        <v>0</v>
      </c>
      <c r="Q172" s="22"/>
      <c r="R172" s="40"/>
      <c r="S172" s="39"/>
    </row>
    <row r="173" spans="3:19" s="23" customFormat="1" ht="18" thickBot="1">
      <c r="C173" s="255"/>
      <c r="D173" s="256"/>
      <c r="E173" s="257"/>
      <c r="F173" s="258"/>
      <c r="G173" s="256"/>
      <c r="H173" s="259"/>
      <c r="I173" s="259"/>
      <c r="J173" s="260"/>
      <c r="K173" s="261"/>
      <c r="L173" s="262"/>
      <c r="M173" s="263"/>
      <c r="N173" s="262"/>
      <c r="O173" s="265">
        <f t="shared" si="2"/>
        <v>0</v>
      </c>
      <c r="P173" s="264">
        <f t="shared" si="3"/>
        <v>0</v>
      </c>
      <c r="Q173" s="22"/>
      <c r="R173" s="40"/>
      <c r="S173" s="39"/>
    </row>
    <row r="174" spans="3:19" s="23" customFormat="1" ht="18" thickBot="1">
      <c r="C174" s="255"/>
      <c r="D174" s="256"/>
      <c r="E174" s="257"/>
      <c r="F174" s="258"/>
      <c r="G174" s="256"/>
      <c r="H174" s="259"/>
      <c r="I174" s="259"/>
      <c r="J174" s="260"/>
      <c r="K174" s="261"/>
      <c r="L174" s="262"/>
      <c r="M174" s="263"/>
      <c r="N174" s="262"/>
      <c r="O174" s="265">
        <f t="shared" si="2"/>
        <v>0</v>
      </c>
      <c r="P174" s="264">
        <f t="shared" si="3"/>
        <v>0</v>
      </c>
      <c r="Q174" s="22"/>
      <c r="R174" s="40"/>
      <c r="S174" s="39"/>
    </row>
    <row r="175" spans="3:19" s="23" customFormat="1" ht="18" thickBot="1">
      <c r="C175" s="255"/>
      <c r="D175" s="256"/>
      <c r="E175" s="257"/>
      <c r="F175" s="258"/>
      <c r="G175" s="256"/>
      <c r="H175" s="259"/>
      <c r="I175" s="259"/>
      <c r="J175" s="260"/>
      <c r="K175" s="261"/>
      <c r="L175" s="262"/>
      <c r="M175" s="263"/>
      <c r="N175" s="262"/>
      <c r="O175" s="265">
        <f t="shared" si="2"/>
        <v>0</v>
      </c>
      <c r="P175" s="264">
        <f t="shared" si="3"/>
        <v>0</v>
      </c>
      <c r="Q175" s="22"/>
      <c r="R175" s="40"/>
      <c r="S175" s="39"/>
    </row>
    <row r="176" spans="3:19" s="23" customFormat="1" ht="18" thickBot="1">
      <c r="C176" s="255"/>
      <c r="D176" s="256"/>
      <c r="E176" s="257"/>
      <c r="F176" s="258"/>
      <c r="G176" s="256"/>
      <c r="H176" s="259"/>
      <c r="I176" s="259"/>
      <c r="J176" s="260"/>
      <c r="K176" s="261"/>
      <c r="L176" s="262"/>
      <c r="M176" s="263"/>
      <c r="N176" s="262"/>
      <c r="O176" s="265">
        <f t="shared" si="2"/>
        <v>0</v>
      </c>
      <c r="P176" s="264">
        <f t="shared" si="3"/>
        <v>0</v>
      </c>
      <c r="Q176" s="22"/>
      <c r="R176" s="40"/>
      <c r="S176" s="39"/>
    </row>
    <row r="177" spans="3:19" s="23" customFormat="1" ht="18" thickBot="1">
      <c r="C177" s="255"/>
      <c r="D177" s="256"/>
      <c r="E177" s="257"/>
      <c r="F177" s="258"/>
      <c r="G177" s="256"/>
      <c r="H177" s="259"/>
      <c r="I177" s="259"/>
      <c r="J177" s="260"/>
      <c r="K177" s="261"/>
      <c r="L177" s="262"/>
      <c r="M177" s="263"/>
      <c r="N177" s="262"/>
      <c r="O177" s="265">
        <f t="shared" si="2"/>
        <v>0</v>
      </c>
      <c r="P177" s="264">
        <f t="shared" si="3"/>
        <v>0</v>
      </c>
      <c r="Q177" s="22"/>
      <c r="R177" s="40"/>
      <c r="S177" s="39"/>
    </row>
    <row r="178" spans="3:19" s="23" customFormat="1" ht="18" thickBot="1">
      <c r="C178" s="255"/>
      <c r="D178" s="256"/>
      <c r="E178" s="257"/>
      <c r="F178" s="258"/>
      <c r="G178" s="256"/>
      <c r="H178" s="259"/>
      <c r="I178" s="259"/>
      <c r="J178" s="260"/>
      <c r="K178" s="261"/>
      <c r="L178" s="262"/>
      <c r="M178" s="263"/>
      <c r="N178" s="262"/>
      <c r="O178" s="265">
        <f t="shared" si="2"/>
        <v>0</v>
      </c>
      <c r="P178" s="264">
        <f t="shared" si="3"/>
        <v>0</v>
      </c>
      <c r="Q178" s="22"/>
      <c r="R178" s="40"/>
      <c r="S178" s="39"/>
    </row>
    <row r="179" spans="3:19" s="23" customFormat="1" ht="18" thickBot="1">
      <c r="C179" s="255"/>
      <c r="D179" s="256"/>
      <c r="E179" s="257"/>
      <c r="F179" s="258"/>
      <c r="G179" s="256"/>
      <c r="H179" s="259"/>
      <c r="I179" s="259"/>
      <c r="J179" s="260"/>
      <c r="K179" s="261"/>
      <c r="L179" s="262"/>
      <c r="M179" s="263"/>
      <c r="N179" s="262"/>
      <c r="O179" s="265">
        <f t="shared" ref="O179:O200" si="4">M179*(1+N179)</f>
        <v>0</v>
      </c>
      <c r="P179" s="264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5"/>
      <c r="D180" s="256"/>
      <c r="E180" s="257"/>
      <c r="F180" s="258"/>
      <c r="G180" s="256"/>
      <c r="H180" s="259"/>
      <c r="I180" s="259"/>
      <c r="J180" s="260"/>
      <c r="K180" s="261"/>
      <c r="L180" s="262"/>
      <c r="M180" s="263"/>
      <c r="N180" s="262"/>
      <c r="O180" s="265">
        <f t="shared" si="4"/>
        <v>0</v>
      </c>
      <c r="P180" s="264">
        <f t="shared" si="5"/>
        <v>0</v>
      </c>
      <c r="Q180" s="22"/>
      <c r="R180" s="40"/>
      <c r="S180" s="39"/>
    </row>
    <row r="181" spans="3:19" s="23" customFormat="1" ht="18" thickBot="1">
      <c r="C181" s="255"/>
      <c r="D181" s="256"/>
      <c r="E181" s="257"/>
      <c r="F181" s="258"/>
      <c r="G181" s="256"/>
      <c r="H181" s="259"/>
      <c r="I181" s="259"/>
      <c r="J181" s="260"/>
      <c r="K181" s="261"/>
      <c r="L181" s="262"/>
      <c r="M181" s="263"/>
      <c r="N181" s="262"/>
      <c r="O181" s="265">
        <f t="shared" si="4"/>
        <v>0</v>
      </c>
      <c r="P181" s="264">
        <f t="shared" si="5"/>
        <v>0</v>
      </c>
      <c r="Q181" s="22"/>
      <c r="R181" s="40"/>
      <c r="S181" s="39"/>
    </row>
    <row r="182" spans="3:19" s="23" customFormat="1" ht="18" thickBot="1">
      <c r="C182" s="255"/>
      <c r="D182" s="256"/>
      <c r="E182" s="257"/>
      <c r="F182" s="258"/>
      <c r="G182" s="256"/>
      <c r="H182" s="259"/>
      <c r="I182" s="259"/>
      <c r="J182" s="260"/>
      <c r="K182" s="261"/>
      <c r="L182" s="262"/>
      <c r="M182" s="263"/>
      <c r="N182" s="262"/>
      <c r="O182" s="265">
        <f t="shared" si="4"/>
        <v>0</v>
      </c>
      <c r="P182" s="264">
        <f t="shared" si="5"/>
        <v>0</v>
      </c>
      <c r="Q182" s="22"/>
      <c r="R182" s="40"/>
      <c r="S182" s="39"/>
    </row>
    <row r="183" spans="3:19" s="23" customFormat="1" ht="18" thickBot="1">
      <c r="C183" s="255"/>
      <c r="D183" s="256"/>
      <c r="E183" s="257"/>
      <c r="F183" s="258"/>
      <c r="G183" s="256"/>
      <c r="H183" s="259"/>
      <c r="I183" s="259"/>
      <c r="J183" s="260"/>
      <c r="K183" s="261"/>
      <c r="L183" s="262"/>
      <c r="M183" s="263"/>
      <c r="N183" s="262"/>
      <c r="O183" s="265">
        <f t="shared" si="4"/>
        <v>0</v>
      </c>
      <c r="P183" s="264">
        <f t="shared" si="5"/>
        <v>0</v>
      </c>
      <c r="Q183" s="22"/>
      <c r="R183" s="40"/>
      <c r="S183" s="39"/>
    </row>
    <row r="184" spans="3:19" s="23" customFormat="1" ht="18" thickBot="1">
      <c r="C184" s="255"/>
      <c r="D184" s="256"/>
      <c r="E184" s="257"/>
      <c r="F184" s="258"/>
      <c r="G184" s="256"/>
      <c r="H184" s="259"/>
      <c r="I184" s="259"/>
      <c r="J184" s="260"/>
      <c r="K184" s="261"/>
      <c r="L184" s="262"/>
      <c r="M184" s="263"/>
      <c r="N184" s="262"/>
      <c r="O184" s="265">
        <f t="shared" si="4"/>
        <v>0</v>
      </c>
      <c r="P184" s="264">
        <f t="shared" si="5"/>
        <v>0</v>
      </c>
      <c r="Q184" s="22"/>
      <c r="R184" s="40"/>
      <c r="S184" s="39"/>
    </row>
    <row r="185" spans="3:19" s="23" customFormat="1" ht="18" thickBot="1">
      <c r="C185" s="255"/>
      <c r="D185" s="256"/>
      <c r="E185" s="257"/>
      <c r="F185" s="258"/>
      <c r="G185" s="256"/>
      <c r="H185" s="259"/>
      <c r="I185" s="259"/>
      <c r="J185" s="260"/>
      <c r="K185" s="261"/>
      <c r="L185" s="262"/>
      <c r="M185" s="263"/>
      <c r="N185" s="262"/>
      <c r="O185" s="265">
        <f t="shared" si="4"/>
        <v>0</v>
      </c>
      <c r="P185" s="264">
        <f t="shared" si="5"/>
        <v>0</v>
      </c>
      <c r="Q185" s="22"/>
      <c r="R185" s="40"/>
      <c r="S185" s="39"/>
    </row>
    <row r="186" spans="3:19" s="23" customFormat="1" ht="18" thickBot="1">
      <c r="C186" s="255"/>
      <c r="D186" s="256"/>
      <c r="E186" s="257"/>
      <c r="F186" s="258"/>
      <c r="G186" s="256"/>
      <c r="H186" s="259"/>
      <c r="I186" s="259"/>
      <c r="J186" s="260"/>
      <c r="K186" s="261"/>
      <c r="L186" s="262"/>
      <c r="M186" s="263"/>
      <c r="N186" s="262"/>
      <c r="O186" s="265">
        <f t="shared" si="4"/>
        <v>0</v>
      </c>
      <c r="P186" s="264">
        <f t="shared" si="5"/>
        <v>0</v>
      </c>
      <c r="Q186" s="22"/>
      <c r="R186" s="40"/>
      <c r="S186" s="39"/>
    </row>
    <row r="187" spans="3:19" s="23" customFormat="1" ht="18" thickBot="1">
      <c r="C187" s="255"/>
      <c r="D187" s="256"/>
      <c r="E187" s="257"/>
      <c r="F187" s="258"/>
      <c r="G187" s="256"/>
      <c r="H187" s="259"/>
      <c r="I187" s="259"/>
      <c r="J187" s="260"/>
      <c r="K187" s="261"/>
      <c r="L187" s="262"/>
      <c r="M187" s="263"/>
      <c r="N187" s="262"/>
      <c r="O187" s="265">
        <f t="shared" si="4"/>
        <v>0</v>
      </c>
      <c r="P187" s="264">
        <f t="shared" si="5"/>
        <v>0</v>
      </c>
      <c r="Q187" s="22"/>
      <c r="R187" s="40"/>
      <c r="S187" s="39"/>
    </row>
    <row r="188" spans="3:19" s="23" customFormat="1" ht="18" thickBot="1">
      <c r="C188" s="255"/>
      <c r="D188" s="256"/>
      <c r="E188" s="257"/>
      <c r="F188" s="258"/>
      <c r="G188" s="256"/>
      <c r="H188" s="259"/>
      <c r="I188" s="259"/>
      <c r="J188" s="260"/>
      <c r="K188" s="261"/>
      <c r="L188" s="262"/>
      <c r="M188" s="263"/>
      <c r="N188" s="262"/>
      <c r="O188" s="265">
        <f t="shared" si="4"/>
        <v>0</v>
      </c>
      <c r="P188" s="264">
        <f t="shared" si="5"/>
        <v>0</v>
      </c>
      <c r="Q188" s="22"/>
      <c r="R188" s="40"/>
      <c r="S188" s="39"/>
    </row>
    <row r="189" spans="3:19" s="23" customFormat="1" ht="18" thickBot="1">
      <c r="C189" s="255"/>
      <c r="D189" s="256"/>
      <c r="E189" s="257"/>
      <c r="F189" s="258"/>
      <c r="G189" s="256"/>
      <c r="H189" s="259"/>
      <c r="I189" s="259"/>
      <c r="J189" s="260"/>
      <c r="K189" s="261"/>
      <c r="L189" s="262"/>
      <c r="M189" s="263"/>
      <c r="N189" s="262"/>
      <c r="O189" s="265">
        <f t="shared" si="4"/>
        <v>0</v>
      </c>
      <c r="P189" s="264">
        <f t="shared" si="5"/>
        <v>0</v>
      </c>
      <c r="Q189" s="22"/>
      <c r="R189" s="40"/>
      <c r="S189" s="39"/>
    </row>
    <row r="190" spans="3:19" s="23" customFormat="1" ht="18" thickBot="1">
      <c r="C190" s="255"/>
      <c r="D190" s="256"/>
      <c r="E190" s="257"/>
      <c r="F190" s="258"/>
      <c r="G190" s="256"/>
      <c r="H190" s="259"/>
      <c r="I190" s="259"/>
      <c r="J190" s="260"/>
      <c r="K190" s="261"/>
      <c r="L190" s="262"/>
      <c r="M190" s="263"/>
      <c r="N190" s="262"/>
      <c r="O190" s="265">
        <f t="shared" si="4"/>
        <v>0</v>
      </c>
      <c r="P190" s="264">
        <f t="shared" si="5"/>
        <v>0</v>
      </c>
      <c r="Q190" s="22"/>
      <c r="R190" s="40"/>
      <c r="S190" s="39"/>
    </row>
    <row r="191" spans="3:19" s="23" customFormat="1" ht="18" thickBot="1">
      <c r="C191" s="255"/>
      <c r="D191" s="256"/>
      <c r="E191" s="257"/>
      <c r="F191" s="258"/>
      <c r="G191" s="256"/>
      <c r="H191" s="259"/>
      <c r="I191" s="259"/>
      <c r="J191" s="260"/>
      <c r="K191" s="261"/>
      <c r="L191" s="262"/>
      <c r="M191" s="263"/>
      <c r="N191" s="262"/>
      <c r="O191" s="265">
        <f t="shared" si="4"/>
        <v>0</v>
      </c>
      <c r="P191" s="264">
        <f t="shared" si="5"/>
        <v>0</v>
      </c>
      <c r="Q191" s="22"/>
      <c r="R191" s="40"/>
      <c r="S191" s="39"/>
    </row>
    <row r="192" spans="3:19" s="23" customFormat="1" ht="18" thickBot="1">
      <c r="C192" s="255"/>
      <c r="D192" s="256"/>
      <c r="E192" s="257"/>
      <c r="F192" s="258"/>
      <c r="G192" s="256"/>
      <c r="H192" s="259"/>
      <c r="I192" s="259"/>
      <c r="J192" s="260"/>
      <c r="K192" s="261"/>
      <c r="L192" s="262"/>
      <c r="M192" s="263"/>
      <c r="N192" s="262"/>
      <c r="O192" s="265">
        <f t="shared" si="4"/>
        <v>0</v>
      </c>
      <c r="P192" s="264">
        <f t="shared" si="5"/>
        <v>0</v>
      </c>
      <c r="Q192" s="22"/>
      <c r="R192" s="40"/>
      <c r="S192" s="39"/>
    </row>
    <row r="193" spans="3:19" s="23" customFormat="1" ht="18" thickBot="1">
      <c r="C193" s="255"/>
      <c r="D193" s="256"/>
      <c r="E193" s="257"/>
      <c r="F193" s="258"/>
      <c r="G193" s="256"/>
      <c r="H193" s="259"/>
      <c r="I193" s="259"/>
      <c r="J193" s="260"/>
      <c r="K193" s="261"/>
      <c r="L193" s="262"/>
      <c r="M193" s="263"/>
      <c r="N193" s="262"/>
      <c r="O193" s="265">
        <f t="shared" si="4"/>
        <v>0</v>
      </c>
      <c r="P193" s="264">
        <f t="shared" si="5"/>
        <v>0</v>
      </c>
      <c r="Q193" s="22"/>
      <c r="R193" s="40"/>
      <c r="S193" s="39"/>
    </row>
    <row r="194" spans="3:19" s="23" customFormat="1" ht="18" thickBot="1">
      <c r="C194" s="255"/>
      <c r="D194" s="256"/>
      <c r="E194" s="257"/>
      <c r="F194" s="258"/>
      <c r="G194" s="256"/>
      <c r="H194" s="259"/>
      <c r="I194" s="259"/>
      <c r="J194" s="260"/>
      <c r="K194" s="261"/>
      <c r="L194" s="262"/>
      <c r="M194" s="263"/>
      <c r="N194" s="262"/>
      <c r="O194" s="265">
        <f t="shared" si="4"/>
        <v>0</v>
      </c>
      <c r="P194" s="264">
        <f t="shared" si="5"/>
        <v>0</v>
      </c>
      <c r="Q194" s="22"/>
      <c r="R194" s="40"/>
      <c r="S194" s="39"/>
    </row>
    <row r="195" spans="3:19" s="23" customFormat="1" ht="18" thickBot="1">
      <c r="C195" s="255"/>
      <c r="D195" s="256"/>
      <c r="E195" s="257"/>
      <c r="F195" s="258"/>
      <c r="G195" s="256"/>
      <c r="H195" s="259"/>
      <c r="I195" s="259"/>
      <c r="J195" s="260"/>
      <c r="K195" s="261"/>
      <c r="L195" s="262"/>
      <c r="M195" s="263"/>
      <c r="N195" s="262"/>
      <c r="O195" s="265">
        <f t="shared" si="4"/>
        <v>0</v>
      </c>
      <c r="P195" s="264">
        <f t="shared" si="5"/>
        <v>0</v>
      </c>
      <c r="Q195" s="22"/>
      <c r="R195" s="40"/>
      <c r="S195" s="39"/>
    </row>
    <row r="196" spans="3:19" s="23" customFormat="1" ht="18" thickBot="1">
      <c r="C196" s="255"/>
      <c r="D196" s="256"/>
      <c r="E196" s="257"/>
      <c r="F196" s="258"/>
      <c r="G196" s="256"/>
      <c r="H196" s="259"/>
      <c r="I196" s="259"/>
      <c r="J196" s="260"/>
      <c r="K196" s="261"/>
      <c r="L196" s="262"/>
      <c r="M196" s="263"/>
      <c r="N196" s="262"/>
      <c r="O196" s="265">
        <f t="shared" si="4"/>
        <v>0</v>
      </c>
      <c r="P196" s="264">
        <f t="shared" si="5"/>
        <v>0</v>
      </c>
      <c r="Q196" s="22"/>
      <c r="R196" s="40"/>
      <c r="S196" s="39"/>
    </row>
    <row r="197" spans="3:19" s="23" customFormat="1" ht="18" thickBot="1">
      <c r="C197" s="255"/>
      <c r="D197" s="256"/>
      <c r="E197" s="257"/>
      <c r="F197" s="258"/>
      <c r="G197" s="256"/>
      <c r="H197" s="259"/>
      <c r="I197" s="259"/>
      <c r="J197" s="260"/>
      <c r="K197" s="261"/>
      <c r="L197" s="262"/>
      <c r="M197" s="263"/>
      <c r="N197" s="262"/>
      <c r="O197" s="265">
        <f t="shared" si="4"/>
        <v>0</v>
      </c>
      <c r="P197" s="264">
        <f t="shared" si="5"/>
        <v>0</v>
      </c>
      <c r="Q197" s="22"/>
      <c r="R197" s="40"/>
      <c r="S197" s="39"/>
    </row>
    <row r="198" spans="3:19" s="23" customFormat="1" ht="18" thickBot="1">
      <c r="C198" s="255"/>
      <c r="D198" s="256"/>
      <c r="E198" s="257"/>
      <c r="F198" s="258"/>
      <c r="G198" s="256"/>
      <c r="H198" s="259"/>
      <c r="I198" s="259"/>
      <c r="J198" s="260"/>
      <c r="K198" s="261"/>
      <c r="L198" s="262"/>
      <c r="M198" s="263"/>
      <c r="N198" s="262"/>
      <c r="O198" s="265">
        <f t="shared" si="4"/>
        <v>0</v>
      </c>
      <c r="P198" s="264">
        <f t="shared" si="5"/>
        <v>0</v>
      </c>
      <c r="Q198" s="22"/>
      <c r="R198" s="40"/>
      <c r="S198" s="39"/>
    </row>
    <row r="199" spans="3:19" s="23" customFormat="1" ht="18" thickBot="1">
      <c r="C199" s="255"/>
      <c r="D199" s="256"/>
      <c r="E199" s="257"/>
      <c r="F199" s="258"/>
      <c r="G199" s="256"/>
      <c r="H199" s="259"/>
      <c r="I199" s="259"/>
      <c r="J199" s="260"/>
      <c r="K199" s="261"/>
      <c r="L199" s="262"/>
      <c r="M199" s="263"/>
      <c r="N199" s="262"/>
      <c r="O199" s="265">
        <f t="shared" si="4"/>
        <v>0</v>
      </c>
      <c r="P199" s="264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5">
        <f t="shared" si="4"/>
        <v>0</v>
      </c>
      <c r="P200" s="264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8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145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6"/>
      <c r="L205" s="267"/>
      <c r="M205" s="270"/>
      <c r="N205" s="268"/>
      <c r="O205" s="265">
        <f>M205*(1+N205)</f>
        <v>0</v>
      </c>
      <c r="P205" s="269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6"/>
      <c r="L206" s="267"/>
      <c r="M206" s="270"/>
      <c r="N206" s="268"/>
      <c r="O206" s="265">
        <f t="shared" ref="O206:O220" si="6">M206*(1+N206)</f>
        <v>0</v>
      </c>
      <c r="P206" s="269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6"/>
      <c r="L207" s="267"/>
      <c r="M207" s="270"/>
      <c r="N207" s="268"/>
      <c r="O207" s="265">
        <f t="shared" si="6"/>
        <v>0</v>
      </c>
      <c r="P207" s="269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6"/>
      <c r="L208" s="267"/>
      <c r="M208" s="270"/>
      <c r="N208" s="268"/>
      <c r="O208" s="265">
        <f t="shared" si="6"/>
        <v>0</v>
      </c>
      <c r="P208" s="269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6"/>
      <c r="L209" s="267"/>
      <c r="M209" s="270"/>
      <c r="N209" s="268"/>
      <c r="O209" s="265">
        <f t="shared" si="6"/>
        <v>0</v>
      </c>
      <c r="P209" s="269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6"/>
      <c r="L210" s="267"/>
      <c r="M210" s="270"/>
      <c r="N210" s="268"/>
      <c r="O210" s="265">
        <f t="shared" si="6"/>
        <v>0</v>
      </c>
      <c r="P210" s="269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6"/>
      <c r="L211" s="267"/>
      <c r="M211" s="270"/>
      <c r="N211" s="268"/>
      <c r="O211" s="265">
        <f t="shared" si="6"/>
        <v>0</v>
      </c>
      <c r="P211" s="269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6"/>
      <c r="L212" s="267"/>
      <c r="M212" s="270"/>
      <c r="N212" s="268"/>
      <c r="O212" s="265">
        <f t="shared" si="6"/>
        <v>0</v>
      </c>
      <c r="P212" s="269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6"/>
      <c r="L213" s="267"/>
      <c r="M213" s="270"/>
      <c r="N213" s="268"/>
      <c r="O213" s="265">
        <f t="shared" si="6"/>
        <v>0</v>
      </c>
      <c r="P213" s="269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6"/>
      <c r="L214" s="267"/>
      <c r="M214" s="270"/>
      <c r="N214" s="268"/>
      <c r="O214" s="265">
        <f t="shared" si="6"/>
        <v>0</v>
      </c>
      <c r="P214" s="269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6"/>
      <c r="L215" s="267"/>
      <c r="M215" s="270"/>
      <c r="N215" s="268"/>
      <c r="O215" s="265">
        <f t="shared" si="6"/>
        <v>0</v>
      </c>
      <c r="P215" s="269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6"/>
      <c r="L216" s="267"/>
      <c r="M216" s="270"/>
      <c r="N216" s="268"/>
      <c r="O216" s="265">
        <f t="shared" si="6"/>
        <v>0</v>
      </c>
      <c r="P216" s="269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6"/>
      <c r="L217" s="267"/>
      <c r="M217" s="270"/>
      <c r="N217" s="268"/>
      <c r="O217" s="265">
        <f t="shared" si="6"/>
        <v>0</v>
      </c>
      <c r="P217" s="269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6"/>
      <c r="L218" s="267"/>
      <c r="M218" s="270"/>
      <c r="N218" s="268"/>
      <c r="O218" s="265">
        <f t="shared" si="6"/>
        <v>0</v>
      </c>
      <c r="P218" s="269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6"/>
      <c r="L219" s="267"/>
      <c r="M219" s="270"/>
      <c r="N219" s="268"/>
      <c r="O219" s="265">
        <f t="shared" si="6"/>
        <v>0</v>
      </c>
      <c r="P219" s="269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6"/>
      <c r="L220" s="267"/>
      <c r="M220" s="270"/>
      <c r="N220" s="268"/>
      <c r="O220" s="265">
        <f t="shared" si="6"/>
        <v>0</v>
      </c>
      <c r="P220" s="269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Validation'!$B$2:$B$10</xm:f>
          </x14:formula1>
          <xm:sqref>D7</xm:sqref>
        </x14:dataValidation>
        <x14:dataValidation type="list" allowBlank="1" showInputMessage="1" showErrorMessage="1">
          <x14:formula1>
            <xm:f>'Data Validation'!$C$2:$C$7</xm:f>
          </x14:formula1>
          <xm:sqref>E19</xm:sqref>
        </x14:dataValidation>
        <x14:dataValidation type="list" allowBlank="1" showInputMessage="1" showErrorMessage="1">
          <x14:formula1>
            <xm:f>'Data Validation'!$D$2:$D$14</xm:f>
          </x14:formula1>
          <xm:sqref>E20</xm:sqref>
        </x14:dataValidation>
        <x14:dataValidation type="list" allowBlank="1" showInputMessage="1" showErrorMessage="1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140</v>
      </c>
    </row>
    <row r="2" spans="1:6" ht="15.6">
      <c r="A2" s="29" t="s">
        <v>67</v>
      </c>
      <c r="B2" s="118" t="s">
        <v>139</v>
      </c>
      <c r="C2" s="120" t="s">
        <v>2</v>
      </c>
      <c r="D2" s="118" t="s">
        <v>142</v>
      </c>
      <c r="E2" s="252"/>
      <c r="F2" s="254" t="s">
        <v>141</v>
      </c>
    </row>
    <row r="3" spans="1:6" ht="15.6">
      <c r="A3" s="29" t="s">
        <v>68</v>
      </c>
      <c r="B3" s="118"/>
      <c r="C3" s="120" t="s">
        <v>3</v>
      </c>
      <c r="D3" s="118"/>
      <c r="E3" s="252"/>
      <c r="F3" s="254"/>
    </row>
    <row r="4" spans="1:6" ht="15.6">
      <c r="A4" s="29" t="s">
        <v>69</v>
      </c>
      <c r="B4" s="118"/>
      <c r="C4" s="120" t="s">
        <v>4</v>
      </c>
      <c r="D4" s="118"/>
      <c r="E4" s="252"/>
      <c r="F4" s="254"/>
    </row>
    <row r="5" spans="1:6" ht="15.6">
      <c r="A5" s="29" t="s">
        <v>70</v>
      </c>
      <c r="B5" s="118"/>
      <c r="C5" s="120" t="s">
        <v>5</v>
      </c>
      <c r="D5" s="118"/>
      <c r="E5" s="252"/>
      <c r="F5" s="254"/>
    </row>
    <row r="6" spans="1:6" ht="15.6">
      <c r="A6" s="29" t="s">
        <v>71</v>
      </c>
      <c r="B6" s="118"/>
      <c r="C6" s="120" t="s">
        <v>6</v>
      </c>
      <c r="D6" s="118"/>
      <c r="E6" s="252"/>
      <c r="F6" s="254"/>
    </row>
    <row r="7" spans="1:6" ht="15.6">
      <c r="A7" s="29" t="s">
        <v>72</v>
      </c>
      <c r="B7" s="118"/>
      <c r="C7" s="120" t="s">
        <v>7</v>
      </c>
      <c r="D7" s="118"/>
      <c r="E7" s="252"/>
      <c r="F7" s="254"/>
    </row>
    <row r="8" spans="1:6" ht="15.6">
      <c r="A8" s="29" t="s">
        <v>1</v>
      </c>
      <c r="B8" s="29"/>
      <c r="C8" s="29"/>
      <c r="D8" s="29"/>
      <c r="E8" s="253"/>
      <c r="F8" s="254"/>
    </row>
    <row r="9" spans="1:6" ht="15.6">
      <c r="A9" s="29"/>
      <c r="B9" s="29"/>
      <c r="C9" s="29"/>
      <c r="D9" s="29"/>
      <c r="E9" s="253"/>
      <c r="F9" s="254"/>
    </row>
    <row r="10" spans="1:6" ht="15.6">
      <c r="A10" s="29"/>
      <c r="B10" s="29"/>
      <c r="C10" s="29"/>
      <c r="D10" s="29"/>
      <c r="E10" s="253"/>
      <c r="F10" s="254"/>
    </row>
    <row r="11" spans="1:6" ht="15.6">
      <c r="A11" s="29"/>
      <c r="B11" s="29"/>
      <c r="C11" s="29"/>
      <c r="D11" s="29"/>
      <c r="E11" s="253"/>
      <c r="F11" s="254"/>
    </row>
    <row r="12" spans="1:6" ht="15.6">
      <c r="A12" s="29"/>
      <c r="B12" s="29"/>
      <c r="C12" s="29"/>
      <c r="D12" s="29"/>
      <c r="E12" s="253"/>
      <c r="F12" s="254"/>
    </row>
    <row r="13" spans="1:6" ht="15.6">
      <c r="A13" s="29"/>
      <c r="B13" s="29"/>
      <c r="C13" s="29"/>
      <c r="D13" s="29"/>
      <c r="E13" s="253"/>
      <c r="F13" s="254"/>
    </row>
    <row r="14" spans="1:6" ht="15.6">
      <c r="A14" s="29"/>
      <c r="B14" s="29"/>
      <c r="C14" s="29"/>
      <c r="D14" s="29"/>
      <c r="E14" s="253"/>
      <c r="F14" s="254"/>
    </row>
    <row r="15" spans="1:6" ht="15.6">
      <c r="A15" s="29"/>
      <c r="B15" s="29"/>
      <c r="C15" s="29"/>
      <c r="D15" s="29"/>
      <c r="E15" s="253"/>
      <c r="F15" s="254"/>
    </row>
    <row r="16" spans="1:6" ht="15.6">
      <c r="A16" s="29"/>
      <c r="B16" s="29"/>
      <c r="C16" s="29"/>
      <c r="D16" s="29"/>
      <c r="E16" s="253"/>
      <c r="F16" s="254"/>
    </row>
    <row r="17" spans="1:6" ht="15.6">
      <c r="A17" s="29"/>
      <c r="B17" s="29"/>
      <c r="C17" s="29"/>
      <c r="D17" s="29"/>
      <c r="E17" s="253"/>
      <c r="F17" s="254"/>
    </row>
    <row r="18" spans="1:6" ht="15.6">
      <c r="A18" s="29"/>
      <c r="B18" s="29"/>
      <c r="C18" s="29"/>
      <c r="D18" s="29"/>
      <c r="E18" s="253"/>
      <c r="F18" s="254"/>
    </row>
    <row r="19" spans="1:6" ht="15.6">
      <c r="A19" s="29"/>
      <c r="B19" s="29"/>
      <c r="C19" s="29"/>
      <c r="D19" s="29"/>
      <c r="E19" s="253"/>
      <c r="F19" s="254"/>
    </row>
    <row r="20" spans="1:6" ht="15.6">
      <c r="A20" s="29"/>
      <c r="B20" s="29"/>
      <c r="C20" s="29"/>
      <c r="D20" s="29"/>
      <c r="E20" s="253"/>
      <c r="F20" s="254"/>
    </row>
    <row r="21" spans="1:6" ht="15.6">
      <c r="A21" s="29"/>
      <c r="B21" s="29"/>
      <c r="C21" s="29"/>
      <c r="D21" s="29"/>
      <c r="E21" s="253"/>
      <c r="F21" s="254"/>
    </row>
    <row r="22" spans="1:6" ht="15.6">
      <c r="A22" s="29"/>
      <c r="B22" s="29"/>
      <c r="C22" s="29"/>
      <c r="D22" s="29"/>
      <c r="E22" s="253"/>
      <c r="F22" s="254"/>
    </row>
    <row r="23" spans="1:6" ht="15.6">
      <c r="A23" s="29"/>
      <c r="B23" s="29"/>
      <c r="C23" s="29"/>
      <c r="D23" s="29"/>
      <c r="E23" s="253"/>
      <c r="F23" s="254"/>
    </row>
    <row r="24" spans="1:6" ht="15.6">
      <c r="A24" s="29"/>
      <c r="B24" s="29"/>
      <c r="C24" s="29"/>
      <c r="D24" s="29"/>
      <c r="E24" s="253"/>
      <c r="F24" s="254"/>
    </row>
    <row r="25" spans="1:6" ht="15.6">
      <c r="A25" s="29"/>
      <c r="B25" s="29"/>
      <c r="C25" s="29"/>
      <c r="D25" s="29"/>
      <c r="E25" s="253"/>
      <c r="F25" s="254"/>
    </row>
    <row r="26" spans="1:6" ht="15.6">
      <c r="A26" s="29"/>
      <c r="B26" s="29"/>
      <c r="C26" s="29"/>
      <c r="D26" s="29"/>
      <c r="E26" s="253"/>
      <c r="F26" s="254"/>
    </row>
    <row r="27" spans="1:6" ht="15.6">
      <c r="A27" s="29"/>
      <c r="B27" s="29"/>
      <c r="C27" s="29"/>
      <c r="D27" s="29"/>
      <c r="E27" s="253"/>
      <c r="F27" s="254"/>
    </row>
    <row r="28" spans="1:6" ht="15.6">
      <c r="A28" s="29"/>
      <c r="B28" s="29"/>
      <c r="C28" s="29"/>
      <c r="D28" s="29"/>
      <c r="E28" s="253"/>
      <c r="F28" s="254"/>
    </row>
    <row r="29" spans="1:6" ht="15.6">
      <c r="A29" s="29"/>
      <c r="B29" s="29"/>
      <c r="C29" s="29"/>
      <c r="D29" s="29"/>
      <c r="E29" s="253"/>
      <c r="F29" s="254"/>
    </row>
    <row r="30" spans="1:6" ht="15.6">
      <c r="A30" s="29"/>
      <c r="B30" s="29"/>
      <c r="C30" s="29"/>
      <c r="D30" s="29"/>
      <c r="E30" s="253"/>
      <c r="F30" s="254"/>
    </row>
    <row r="31" spans="1:6" ht="15.6">
      <c r="A31" s="29"/>
      <c r="B31" s="29"/>
      <c r="C31" s="29"/>
      <c r="D31" s="29"/>
      <c r="E31" s="253"/>
      <c r="F31" s="254"/>
    </row>
    <row r="32" spans="1:6" ht="15.6">
      <c r="A32" s="29"/>
      <c r="B32" s="29"/>
      <c r="C32" s="29"/>
      <c r="D32" s="29"/>
      <c r="E32" s="253"/>
      <c r="F32" s="254"/>
    </row>
    <row r="33" spans="1:6" ht="15.6">
      <c r="A33" s="29"/>
      <c r="B33" s="29"/>
      <c r="C33" s="29"/>
      <c r="D33" s="29"/>
      <c r="E33" s="253"/>
      <c r="F33" s="254"/>
    </row>
    <row r="34" spans="1:6" ht="15.6">
      <c r="A34" s="29"/>
      <c r="B34" s="29"/>
      <c r="C34" s="29"/>
      <c r="D34" s="29"/>
      <c r="E34" s="253"/>
      <c r="F34" s="254"/>
    </row>
    <row r="35" spans="1:6" ht="15.6">
      <c r="A35" s="29"/>
      <c r="B35" s="29"/>
      <c r="C35" s="29"/>
      <c r="D35" s="29"/>
      <c r="E35" s="253"/>
      <c r="F35" s="254"/>
    </row>
    <row r="36" spans="1:6" ht="15.6">
      <c r="A36" s="29"/>
      <c r="B36" s="29"/>
      <c r="C36" s="29"/>
      <c r="D36" s="29"/>
      <c r="E36" s="253"/>
      <c r="F36" s="25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2023-12-18T20:49:30Z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