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sparc_export_templates\"/>
    </mc:Choice>
  </mc:AlternateContent>
  <xr:revisionPtr revIDLastSave="0" documentId="13_ncr:1_{17A4E9B2-2D80-4C20-907E-3A7143D575B5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40" l="1"/>
  <c r="T22" i="40"/>
  <c r="T21" i="40"/>
  <c r="T20" i="40"/>
  <c r="T19" i="40"/>
  <c r="H26" i="40"/>
  <c r="H25" i="40"/>
  <c r="H24" i="40"/>
  <c r="H23" i="40"/>
  <c r="H22" i="40"/>
  <c r="H21" i="40"/>
  <c r="H20" i="40"/>
  <c r="O20" i="40" l="1"/>
  <c r="K33" i="40" s="1"/>
  <c r="O21" i="40" l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K22" i="40" l="1"/>
  <c r="K26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P220" i="40" l="1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3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C5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P5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Q5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C20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  <comment ref="P20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<sst xmlns="http://schemas.openxmlformats.org/spreadsheetml/2006/main" count="180" uniqueCount="151">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</sst>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3" fillId="0" borderId="0" applyFont="0" applyFill="0" applyBorder="0" applyAlignment="0" applyProtection="0"/>
    <xf numFmtId="0" fontId="53" fillId="0" borderId="0"/>
    <xf numFmtId="44" fontId="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4" fillId="0" borderId="0" xfId="2" applyFont="1"/>
    <xf numFmtId="0" fontId="3" fillId="0" borderId="0" xfId="2"/>
    <xf numFmtId="0" fontId="10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10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3" fillId="0" borderId="4" xfId="2" applyBorder="1" applyAlignment="1">
      <alignment vertical="center"/>
    </xf>
    <xf numFmtId="0" fontId="10" fillId="0" borderId="4" xfId="2" applyFont="1" applyBorder="1" applyAlignment="1">
      <alignment vertical="center"/>
    </xf>
    <xf numFmtId="0" fontId="20" fillId="0" borderId="0" xfId="2" applyFont="1"/>
    <xf numFmtId="43" fontId="10" fillId="0" borderId="0" xfId="2" applyNumberFormat="1" applyFont="1" applyAlignment="1">
      <alignment horizontal="center" vertical="center"/>
    </xf>
    <xf numFmtId="0" fontId="10" fillId="0" borderId="5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3" fillId="0" borderId="0" xfId="2" applyFont="1" applyAlignment="1">
      <alignment horizontal="center" vertical="center" wrapText="1"/>
    </xf>
    <xf numFmtId="0" fontId="12" fillId="5" borderId="0" xfId="8" applyFont="1" applyFill="1" applyAlignment="1">
      <alignment horizontal="center" vertical="center"/>
    </xf>
    <xf numFmtId="0" fontId="24" fillId="0" borderId="15" xfId="8" applyFont="1" applyBorder="1" applyAlignment="1">
      <alignment vertical="center"/>
    </xf>
    <xf numFmtId="0" fontId="16" fillId="8" borderId="0" xfId="2" applyFont="1" applyFill="1" applyAlignment="1">
      <alignment vertical="center"/>
    </xf>
    <xf numFmtId="0" fontId="3" fillId="8" borderId="0" xfId="2" applyFill="1"/>
    <xf numFmtId="0" fontId="16" fillId="8" borderId="0" xfId="2" applyFont="1" applyFill="1" applyAlignment="1">
      <alignment horizontal="left" vertical="center"/>
    </xf>
    <xf numFmtId="0" fontId="20" fillId="8" borderId="0" xfId="2" applyFont="1" applyFill="1"/>
    <xf numFmtId="0" fontId="21" fillId="8" borderId="0" xfId="2" applyFont="1" applyFill="1" applyAlignment="1">
      <alignment horizontal="center" vertical="center"/>
    </xf>
    <xf numFmtId="0" fontId="23" fillId="8" borderId="0" xfId="2" applyFont="1" applyFill="1" applyAlignment="1">
      <alignment horizontal="center" vertical="center" wrapText="1"/>
    </xf>
    <xf numFmtId="0" fontId="21" fillId="8" borderId="0" xfId="2" applyFont="1" applyFill="1" applyAlignment="1">
      <alignment vertical="center"/>
    </xf>
    <xf numFmtId="0" fontId="22" fillId="8" borderId="0" xfId="2" applyFont="1" applyFill="1" applyAlignment="1">
      <alignment horizontal="center" vertical="center"/>
    </xf>
    <xf numFmtId="3" fontId="21" fillId="8" borderId="0" xfId="2" applyNumberFormat="1" applyFont="1" applyFill="1" applyAlignment="1">
      <alignment horizontal="center" vertical="center"/>
    </xf>
    <xf numFmtId="0" fontId="18" fillId="8" borderId="0" xfId="2" applyFont="1" applyFill="1" applyAlignment="1">
      <alignment vertical="center"/>
    </xf>
    <xf numFmtId="0" fontId="14" fillId="0" borderId="0" xfId="2" applyFont="1"/>
    <xf numFmtId="0" fontId="25" fillId="0" borderId="10" xfId="2" applyFont="1" applyBorder="1" applyAlignment="1">
      <alignment vertical="center"/>
    </xf>
    <xf numFmtId="0" fontId="25" fillId="0" borderId="23" xfId="2" applyFont="1" applyBorder="1" applyAlignment="1">
      <alignment vertical="center"/>
    </xf>
    <xf numFmtId="0" fontId="26" fillId="0" borderId="23" xfId="2" applyFont="1" applyBorder="1" applyAlignment="1">
      <alignment vertical="center"/>
    </xf>
    <xf numFmtId="0" fontId="27" fillId="0" borderId="11" xfId="2" applyFont="1" applyBorder="1" applyAlignment="1">
      <alignment vertical="center"/>
    </xf>
    <xf numFmtId="0" fontId="25" fillId="0" borderId="4" xfId="2" applyFont="1" applyBorder="1" applyAlignment="1">
      <alignment vertical="center"/>
    </xf>
    <xf numFmtId="0" fontId="28" fillId="0" borderId="5" xfId="2" applyFont="1" applyBorder="1"/>
    <xf numFmtId="0" fontId="25" fillId="0" borderId="6" xfId="2" applyFont="1" applyBorder="1" applyAlignment="1">
      <alignment vertical="center"/>
    </xf>
    <xf numFmtId="0" fontId="25" fillId="0" borderId="7" xfId="2" applyFont="1" applyBorder="1" applyAlignment="1">
      <alignment vertical="center"/>
    </xf>
    <xf numFmtId="0" fontId="26" fillId="0" borderId="7" xfId="2" applyFont="1" applyBorder="1" applyAlignment="1">
      <alignment horizontal="center" vertical="center"/>
    </xf>
    <xf numFmtId="0" fontId="28" fillId="0" borderId="8" xfId="2" applyFont="1" applyBorder="1"/>
    <xf numFmtId="0" fontId="33" fillId="0" borderId="23" xfId="2" applyFont="1" applyBorder="1" applyAlignment="1">
      <alignment vertical="center"/>
    </xf>
    <xf numFmtId="0" fontId="32" fillId="8" borderId="11" xfId="2" applyFont="1" applyFill="1" applyBorder="1" applyAlignment="1">
      <alignment vertical="center"/>
    </xf>
    <xf numFmtId="0" fontId="32" fillId="0" borderId="0" xfId="2" applyFont="1" applyAlignment="1">
      <alignment vertical="center"/>
    </xf>
    <xf numFmtId="0" fontId="33" fillId="8" borderId="5" xfId="2" applyFont="1" applyFill="1" applyBorder="1" applyAlignment="1">
      <alignment horizontal="center" vertical="center"/>
    </xf>
    <xf numFmtId="3" fontId="32" fillId="8" borderId="5" xfId="2" applyNumberFormat="1" applyFont="1" applyFill="1" applyBorder="1" applyAlignment="1">
      <alignment horizontal="center" vertical="center"/>
    </xf>
    <xf numFmtId="0" fontId="32" fillId="8" borderId="5" xfId="2" applyFont="1" applyFill="1" applyBorder="1" applyAlignment="1">
      <alignment horizontal="center" vertical="center"/>
    </xf>
    <xf numFmtId="0" fontId="32" fillId="0" borderId="5" xfId="2" applyFont="1" applyBorder="1" applyAlignment="1">
      <alignment horizontal="center" vertical="center"/>
    </xf>
    <xf numFmtId="0" fontId="34" fillId="0" borderId="6" xfId="10" applyFont="1" applyBorder="1" applyAlignment="1">
      <alignment horizontal="left" vertical="center"/>
    </xf>
    <xf numFmtId="0" fontId="34" fillId="0" borderId="7" xfId="10" applyFont="1" applyBorder="1" applyAlignment="1">
      <alignment horizontal="left" vertical="center"/>
    </xf>
    <xf numFmtId="0" fontId="31" fillId="0" borderId="7" xfId="10" applyFont="1" applyBorder="1" applyAlignment="1">
      <alignment vertical="center"/>
    </xf>
    <xf numFmtId="0" fontId="32" fillId="0" borderId="7" xfId="2" applyFont="1" applyBorder="1" applyAlignment="1">
      <alignment vertical="center"/>
    </xf>
    <xf numFmtId="0" fontId="30" fillId="0" borderId="7" xfId="2" applyFont="1" applyBorder="1" applyAlignment="1">
      <alignment horizontal="right" vertical="center"/>
    </xf>
    <xf numFmtId="0" fontId="32" fillId="0" borderId="8" xfId="2" applyFont="1" applyBorder="1" applyAlignment="1">
      <alignment horizontal="center" vertical="center"/>
    </xf>
    <xf numFmtId="0" fontId="37" fillId="0" borderId="0" xfId="2" applyFont="1" applyAlignment="1">
      <alignment horizontal="left" vertical="center"/>
    </xf>
    <xf numFmtId="0" fontId="38" fillId="0" borderId="0" xfId="2" applyFont="1"/>
    <xf numFmtId="0" fontId="39" fillId="0" borderId="0" xfId="2" applyFont="1" applyAlignment="1">
      <alignment vertical="center"/>
    </xf>
    <xf numFmtId="0" fontId="40" fillId="0" borderId="0" xfId="2" applyFont="1" applyAlignment="1">
      <alignment horizontal="left" vertical="center"/>
    </xf>
    <xf numFmtId="0" fontId="38" fillId="0" borderId="0" xfId="2" applyFont="1" applyAlignment="1">
      <alignment horizontal="left" vertical="center"/>
    </xf>
    <xf numFmtId="0" fontId="40" fillId="0" borderId="0" xfId="2" applyFont="1" applyAlignment="1">
      <alignment horizontal="right" vertical="center"/>
    </xf>
    <xf numFmtId="0" fontId="28" fillId="0" borderId="0" xfId="2" applyFont="1" applyAlignment="1">
      <alignment horizontal="left"/>
    </xf>
    <xf numFmtId="0" fontId="41" fillId="0" borderId="0" xfId="2" applyFont="1" applyAlignment="1">
      <alignment horizontal="center"/>
    </xf>
    <xf numFmtId="0" fontId="28" fillId="0" borderId="0" xfId="2" applyFont="1"/>
    <xf numFmtId="0" fontId="42" fillId="0" borderId="4" xfId="2" applyFont="1" applyBorder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6" fillId="3" borderId="9" xfId="2" applyFont="1" applyFill="1" applyBorder="1" applyAlignment="1">
      <alignment horizontal="left" vertical="center" wrapText="1"/>
    </xf>
    <xf numFmtId="0" fontId="28" fillId="0" borderId="0" xfId="2" applyFont="1" applyAlignment="1">
      <alignment vertical="center"/>
    </xf>
    <xf numFmtId="0" fontId="28" fillId="0" borderId="4" xfId="2" applyFont="1" applyBorder="1" applyAlignment="1">
      <alignment vertical="center"/>
    </xf>
    <xf numFmtId="0" fontId="28" fillId="0" borderId="5" xfId="2" applyFont="1" applyBorder="1" applyAlignment="1">
      <alignment vertical="center"/>
    </xf>
    <xf numFmtId="0" fontId="47" fillId="0" borderId="0" xfId="0" applyFont="1" applyAlignment="1">
      <alignment horizontal="right" vertical="center"/>
    </xf>
    <xf numFmtId="0" fontId="49" fillId="0" borderId="0" xfId="2" applyFont="1" applyAlignment="1">
      <alignment horizontal="right" vertical="center"/>
    </xf>
    <xf numFmtId="0" fontId="28" fillId="0" borderId="0" xfId="2" applyFont="1" applyAlignment="1">
      <alignment horizontal="left" vertical="center"/>
    </xf>
    <xf numFmtId="0" fontId="28" fillId="8" borderId="0" xfId="2" applyFont="1" applyFill="1" applyAlignment="1">
      <alignment vertical="center"/>
    </xf>
    <xf numFmtId="0" fontId="45" fillId="8" borderId="0" xfId="2" applyFont="1" applyFill="1" applyAlignment="1">
      <alignment vertical="center" wrapText="1"/>
    </xf>
    <xf numFmtId="164" fontId="50" fillId="0" borderId="0" xfId="2" applyNumberFormat="1" applyFont="1" applyAlignment="1">
      <alignment horizontal="center" vertical="center"/>
    </xf>
    <xf numFmtId="0" fontId="45" fillId="0" borderId="4" xfId="2" applyFont="1" applyBorder="1" applyAlignment="1">
      <alignment horizontal="left" vertical="center" wrapText="1"/>
    </xf>
    <xf numFmtId="43" fontId="38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36" fillId="8" borderId="7" xfId="10" applyFont="1" applyFill="1" applyBorder="1" applyAlignment="1">
      <alignment vertical="center" wrapText="1"/>
    </xf>
    <xf numFmtId="0" fontId="29" fillId="9" borderId="10" xfId="2" applyFont="1" applyFill="1" applyBorder="1" applyAlignment="1">
      <alignment vertical="center"/>
    </xf>
    <xf numFmtId="0" fontId="29" fillId="9" borderId="23" xfId="2" applyFont="1" applyFill="1" applyBorder="1" applyAlignment="1">
      <alignment vertical="center"/>
    </xf>
    <xf numFmtId="0" fontId="29" fillId="9" borderId="2" xfId="2" applyFont="1" applyFill="1" applyBorder="1" applyAlignment="1">
      <alignment vertical="center"/>
    </xf>
    <xf numFmtId="0" fontId="29" fillId="9" borderId="3" xfId="2" applyFont="1" applyFill="1" applyBorder="1" applyAlignment="1">
      <alignment vertical="center"/>
    </xf>
    <xf numFmtId="0" fontId="31" fillId="0" borderId="0" xfId="10" applyFont="1" applyAlignment="1">
      <alignment vertical="center"/>
    </xf>
    <xf numFmtId="0" fontId="31" fillId="11" borderId="0" xfId="10" applyFont="1" applyFill="1" applyAlignment="1">
      <alignment vertical="center"/>
    </xf>
    <xf numFmtId="0" fontId="30" fillId="0" borderId="0" xfId="2" applyFont="1" applyAlignment="1">
      <alignment horizontal="left" vertical="center" wrapText="1"/>
    </xf>
    <xf numFmtId="0" fontId="30" fillId="0" borderId="0" xfId="2" applyFont="1" applyAlignment="1">
      <alignment horizontal="left" vertical="center"/>
    </xf>
    <xf numFmtId="0" fontId="30" fillId="0" borderId="4" xfId="2" applyFont="1" applyBorder="1" applyAlignment="1">
      <alignment vertical="center"/>
    </xf>
    <xf numFmtId="0" fontId="34" fillId="0" borderId="4" xfId="10" applyFont="1" applyBorder="1" applyAlignment="1">
      <alignment vertical="center"/>
    </xf>
    <xf numFmtId="0" fontId="33" fillId="0" borderId="0" xfId="2" applyFont="1" applyAlignment="1">
      <alignment vertical="center"/>
    </xf>
    <xf numFmtId="0" fontId="35" fillId="8" borderId="0" xfId="10" applyFont="1" applyFill="1" applyAlignment="1">
      <alignment vertical="center"/>
    </xf>
    <xf numFmtId="0" fontId="30" fillId="8" borderId="0" xfId="2" applyFont="1" applyFill="1" applyAlignment="1">
      <alignment horizontal="right" vertical="center"/>
    </xf>
    <xf numFmtId="0" fontId="32" fillId="8" borderId="0" xfId="2" applyFont="1" applyFill="1" applyAlignment="1">
      <alignment vertical="center"/>
    </xf>
    <xf numFmtId="0" fontId="25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54" fillId="0" borderId="0" xfId="2" applyFont="1" applyAlignment="1">
      <alignment vertical="center"/>
    </xf>
    <xf numFmtId="0" fontId="0" fillId="0" borderId="26" xfId="0" applyBorder="1"/>
    <xf numFmtId="0" fontId="58" fillId="5" borderId="27" xfId="0" applyFont="1" applyFill="1" applyBorder="1"/>
    <xf numFmtId="0" fontId="59" fillId="0" borderId="26" xfId="0" applyFont="1" applyBorder="1"/>
    <xf numFmtId="0" fontId="13" fillId="5" borderId="27" xfId="10" applyFont="1" applyFill="1" applyBorder="1" applyAlignment="1">
      <alignment horizontal="left" vertical="center"/>
    </xf>
    <xf numFmtId="0" fontId="13" fillId="5" borderId="27" xfId="10" applyFont="1" applyFill="1" applyBorder="1" applyAlignment="1">
      <alignment horizontal="left" vertical="center" wrapText="1"/>
    </xf>
    <xf numFmtId="0" fontId="56" fillId="10" borderId="10" xfId="10" applyFont="1" applyFill="1" applyBorder="1" applyAlignment="1">
      <alignment horizontal="left" vertical="center" wrapText="1"/>
    </xf>
    <xf numFmtId="0" fontId="56" fillId="10" borderId="4" xfId="10" applyFont="1" applyFill="1" applyBorder="1" applyAlignment="1">
      <alignment horizontal="left" vertical="center" wrapText="1"/>
    </xf>
    <xf numFmtId="0" fontId="56" fillId="0" borderId="4" xfId="10" applyFont="1" applyBorder="1" applyAlignment="1">
      <alignment horizontal="left" vertical="center" wrapText="1"/>
    </xf>
    <xf numFmtId="0" fontId="56" fillId="0" borderId="4" xfId="10" applyFont="1" applyBorder="1" applyAlignment="1">
      <alignment horizontal="left" vertical="center"/>
    </xf>
    <xf numFmtId="0" fontId="46" fillId="8" borderId="4" xfId="2" applyFont="1" applyFill="1" applyBorder="1" applyAlignment="1">
      <alignment vertical="center" wrapText="1"/>
    </xf>
    <xf numFmtId="0" fontId="56" fillId="8" borderId="0" xfId="10" applyFont="1" applyFill="1" applyAlignment="1">
      <alignment horizontal="left" vertical="center"/>
    </xf>
    <xf numFmtId="0" fontId="56" fillId="0" borderId="10" xfId="10" applyFont="1" applyBorder="1" applyAlignment="1">
      <alignment horizontal="left" vertical="center"/>
    </xf>
    <xf numFmtId="0" fontId="56" fillId="8" borderId="4" xfId="10" applyFont="1" applyFill="1" applyBorder="1" applyAlignment="1">
      <alignment horizontal="left" vertical="center"/>
    </xf>
    <xf numFmtId="0" fontId="46" fillId="8" borderId="6" xfId="2" applyFont="1" applyFill="1" applyBorder="1" applyAlignment="1">
      <alignment vertical="center" wrapText="1"/>
    </xf>
    <xf numFmtId="0" fontId="44" fillId="0" borderId="0" xfId="2" applyFont="1" applyAlignment="1">
      <alignment vertical="center"/>
    </xf>
    <xf numFmtId="0" fontId="44" fillId="8" borderId="0" xfId="2" applyFont="1" applyFill="1" applyAlignment="1">
      <alignment vertical="center"/>
    </xf>
    <xf numFmtId="0" fontId="46" fillId="8" borderId="0" xfId="2" applyFont="1" applyFill="1" applyAlignment="1">
      <alignment horizontal="center" vertical="center" wrapText="1"/>
    </xf>
    <xf numFmtId="0" fontId="46" fillId="8" borderId="0" xfId="2" applyFont="1" applyFill="1" applyAlignment="1">
      <alignment horizontal="left" vertical="center" wrapText="1"/>
    </xf>
    <xf numFmtId="41" fontId="32" fillId="8" borderId="0" xfId="2" applyNumberFormat="1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center" vertical="center"/>
    </xf>
    <xf numFmtId="0" fontId="30" fillId="8" borderId="0" xfId="2" applyFont="1" applyFill="1" applyAlignment="1">
      <alignment horizontal="left" vertical="center" wrapText="1"/>
    </xf>
    <xf numFmtId="0" fontId="30" fillId="8" borderId="0" xfId="2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left" vertical="center" wrapText="1"/>
    </xf>
    <xf numFmtId="0" fontId="28" fillId="8" borderId="0" xfId="2" applyFont="1" applyFill="1" applyAlignment="1">
      <alignment horizontal="center" vertical="center"/>
    </xf>
    <xf numFmtId="43" fontId="41" fillId="8" borderId="0" xfId="2" applyNumberFormat="1" applyFont="1" applyFill="1" applyAlignment="1">
      <alignment vertical="center"/>
    </xf>
    <xf numFmtId="0" fontId="46" fillId="8" borderId="10" xfId="2" applyFont="1" applyFill="1" applyBorder="1" applyAlignment="1">
      <alignment vertical="center" wrapText="1"/>
    </xf>
    <xf numFmtId="0" fontId="46" fillId="8" borderId="4" xfId="2" applyFont="1" applyFill="1" applyBorder="1" applyAlignment="1">
      <alignment horizontal="left" vertical="center" wrapText="1"/>
    </xf>
    <xf numFmtId="0" fontId="46" fillId="8" borderId="6" xfId="2" applyFont="1" applyFill="1" applyBorder="1" applyAlignment="1">
      <alignment horizontal="left" vertical="center" wrapText="1"/>
    </xf>
    <xf numFmtId="0" fontId="30" fillId="0" borderId="10" xfId="2" applyFont="1" applyBorder="1" applyAlignment="1">
      <alignment horizontal="left" vertical="center" wrapText="1"/>
    </xf>
    <xf numFmtId="0" fontId="30" fillId="0" borderId="4" xfId="2" applyFont="1" applyBorder="1" applyAlignment="1">
      <alignment horizontal="left" vertical="center" wrapText="1"/>
    </xf>
    <xf numFmtId="0" fontId="30" fillId="0" borderId="4" xfId="2" applyFont="1" applyBorder="1" applyAlignment="1">
      <alignment horizontal="left" vertical="center"/>
    </xf>
    <xf numFmtId="0" fontId="30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48" fillId="7" borderId="18" xfId="2" applyFont="1" applyFill="1" applyBorder="1" applyAlignment="1">
      <alignment horizontal="left" vertical="center" wrapText="1"/>
    </xf>
    <xf numFmtId="0" fontId="43" fillId="0" borderId="4" xfId="2" applyFont="1" applyBorder="1" applyAlignment="1">
      <alignment vertical="center"/>
    </xf>
    <xf numFmtId="0" fontId="19" fillId="0" borderId="0" xfId="2" applyFont="1" applyAlignment="1">
      <alignment vertical="center"/>
    </xf>
    <xf numFmtId="0" fontId="45" fillId="8" borderId="0" xfId="2" applyFont="1" applyFill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9" fontId="50" fillId="8" borderId="0" xfId="6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64" fillId="7" borderId="16" xfId="10" applyFont="1" applyFill="1" applyBorder="1" applyAlignment="1">
      <alignment horizontal="left" vertical="center" wrapText="1"/>
    </xf>
    <xf numFmtId="0" fontId="64" fillId="7" borderId="17" xfId="10" applyFont="1" applyFill="1" applyBorder="1" applyAlignment="1">
      <alignment horizontal="left" vertical="center"/>
    </xf>
    <xf numFmtId="0" fontId="57" fillId="11" borderId="20" xfId="10" applyFont="1" applyFill="1" applyBorder="1" applyAlignment="1">
      <alignment horizontal="left" vertical="center"/>
    </xf>
    <xf numFmtId="0" fontId="57" fillId="11" borderId="21" xfId="10" applyFont="1" applyFill="1" applyBorder="1" applyAlignment="1">
      <alignment horizontal="left" vertical="center"/>
    </xf>
    <xf numFmtId="14" fontId="57" fillId="11" borderId="21" xfId="14" applyNumberFormat="1" applyFont="1" applyFill="1" applyBorder="1" applyAlignment="1">
      <alignment horizontal="left" vertical="center"/>
    </xf>
    <xf numFmtId="165" fontId="57" fillId="11" borderId="21" xfId="10" applyNumberFormat="1" applyFont="1" applyFill="1" applyBorder="1" applyAlignment="1">
      <alignment horizontal="left" vertical="center"/>
    </xf>
    <xf numFmtId="0" fontId="32" fillId="11" borderId="21" xfId="9" applyNumberFormat="1" applyFont="1" applyFill="1" applyBorder="1" applyAlignment="1">
      <alignment horizontal="left" vertical="center"/>
    </xf>
    <xf numFmtId="44" fontId="60" fillId="11" borderId="20" xfId="9" applyFont="1" applyFill="1" applyBorder="1" applyAlignment="1">
      <alignment vertical="center"/>
    </xf>
    <xf numFmtId="0" fontId="29" fillId="9" borderId="31" xfId="2" applyFont="1" applyFill="1" applyBorder="1" applyAlignment="1">
      <alignment vertical="center"/>
    </xf>
    <xf numFmtId="0" fontId="29" fillId="9" borderId="32" xfId="2" applyFont="1" applyFill="1" applyBorder="1" applyAlignment="1">
      <alignment vertical="center"/>
    </xf>
    <xf numFmtId="0" fontId="29" fillId="9" borderId="33" xfId="2" applyFont="1" applyFill="1" applyBorder="1" applyAlignment="1">
      <alignment vertical="center"/>
    </xf>
    <xf numFmtId="0" fontId="19" fillId="0" borderId="4" xfId="2" applyFont="1" applyBorder="1" applyAlignment="1">
      <alignment vertical="center"/>
    </xf>
    <xf numFmtId="0" fontId="43" fillId="0" borderId="0" xfId="2" applyFont="1" applyAlignment="1">
      <alignment vertical="center"/>
    </xf>
    <xf numFmtId="0" fontId="44" fillId="8" borderId="5" xfId="2" applyFont="1" applyFill="1" applyBorder="1" applyAlignment="1">
      <alignment vertical="center"/>
    </xf>
    <xf numFmtId="0" fontId="28" fillId="8" borderId="5" xfId="2" applyFont="1" applyFill="1" applyBorder="1" applyAlignment="1">
      <alignment vertical="center"/>
    </xf>
    <xf numFmtId="0" fontId="46" fillId="8" borderId="5" xfId="2" applyFont="1" applyFill="1" applyBorder="1" applyAlignment="1">
      <alignment horizontal="center" vertical="center"/>
    </xf>
    <xf numFmtId="41" fontId="32" fillId="8" borderId="5" xfId="2" applyNumberFormat="1" applyFont="1" applyFill="1" applyBorder="1" applyAlignment="1">
      <alignment horizontal="left" vertical="center"/>
    </xf>
    <xf numFmtId="0" fontId="46" fillId="8" borderId="5" xfId="2" applyFont="1" applyFill="1" applyBorder="1" applyAlignment="1">
      <alignment horizontal="left" vertical="center"/>
    </xf>
    <xf numFmtId="43" fontId="32" fillId="8" borderId="5" xfId="2" applyNumberFormat="1" applyFont="1" applyFill="1" applyBorder="1" applyAlignment="1">
      <alignment horizontal="left" vertical="center"/>
    </xf>
    <xf numFmtId="0" fontId="49" fillId="0" borderId="0" xfId="2" applyFont="1" applyAlignment="1">
      <alignment vertical="center"/>
    </xf>
    <xf numFmtId="0" fontId="63" fillId="0" borderId="0" xfId="0" applyFont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1" fillId="0" borderId="0" xfId="2" applyFont="1" applyAlignment="1">
      <alignment vertical="center" wrapText="1"/>
    </xf>
    <xf numFmtId="0" fontId="61" fillId="0" borderId="0" xfId="2" applyFont="1" applyAlignment="1">
      <alignment horizontal="left" vertical="center"/>
    </xf>
    <xf numFmtId="0" fontId="31" fillId="8" borderId="5" xfId="10" applyFont="1" applyFill="1" applyBorder="1" applyAlignment="1">
      <alignment horizontal="left" vertical="center"/>
    </xf>
    <xf numFmtId="43" fontId="32" fillId="8" borderId="5" xfId="2" applyNumberFormat="1" applyFont="1" applyFill="1" applyBorder="1" applyAlignment="1">
      <alignment horizontal="center" vertical="center"/>
    </xf>
    <xf numFmtId="0" fontId="45" fillId="8" borderId="0" xfId="2" applyFont="1" applyFill="1" applyAlignment="1">
      <alignment horizontal="left" vertical="center" wrapText="1"/>
    </xf>
    <xf numFmtId="0" fontId="46" fillId="8" borderId="5" xfId="2" applyFont="1" applyFill="1" applyBorder="1" applyAlignment="1">
      <alignment horizontal="right" vertical="center"/>
    </xf>
    <xf numFmtId="164" fontId="50" fillId="8" borderId="0" xfId="2" applyNumberFormat="1" applyFont="1" applyFill="1" applyAlignment="1">
      <alignment horizontal="right" vertical="center"/>
    </xf>
    <xf numFmtId="0" fontId="32" fillId="8" borderId="5" xfId="2" applyFont="1" applyFill="1" applyBorder="1" applyAlignment="1">
      <alignment vertical="center"/>
    </xf>
    <xf numFmtId="0" fontId="52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8" fillId="0" borderId="0" xfId="2" applyNumberFormat="1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31" fillId="13" borderId="0" xfId="10" applyFont="1" applyFill="1" applyAlignment="1">
      <alignment vertical="center"/>
    </xf>
    <xf numFmtId="0" fontId="32" fillId="13" borderId="0" xfId="2" applyFont="1" applyFill="1" applyAlignment="1">
      <alignment vertical="center"/>
    </xf>
    <xf numFmtId="0" fontId="55" fillId="13" borderId="0" xfId="0" quotePrefix="1" applyFont="1" applyFill="1"/>
    <xf numFmtId="0" fontId="32" fillId="12" borderId="0" xfId="2" applyFont="1" applyFill="1" applyAlignment="1">
      <alignment vertical="center"/>
    </xf>
    <xf numFmtId="0" fontId="56" fillId="0" borderId="6" xfId="10" applyFont="1" applyBorder="1" applyAlignment="1">
      <alignment horizontal="left" vertical="center"/>
    </xf>
    <xf numFmtId="164" fontId="30" fillId="6" borderId="12" xfId="2" applyNumberFormat="1" applyFont="1" applyFill="1" applyBorder="1" applyAlignment="1">
      <alignment vertical="center"/>
    </xf>
    <xf numFmtId="44" fontId="32" fillId="6" borderId="29" xfId="9" applyFont="1" applyFill="1" applyBorder="1" applyAlignment="1">
      <alignment horizontal="center" vertical="center"/>
    </xf>
    <xf numFmtId="44" fontId="32" fillId="6" borderId="30" xfId="9" applyFont="1" applyFill="1" applyBorder="1" applyAlignment="1">
      <alignment horizontal="center" vertical="center"/>
    </xf>
    <xf numFmtId="44" fontId="65" fillId="6" borderId="21" xfId="9" quotePrefix="1" applyFont="1" applyFill="1" applyBorder="1" applyAlignment="1">
      <alignment vertical="center"/>
    </xf>
    <xf numFmtId="44" fontId="65" fillId="6" borderId="28" xfId="9" quotePrefix="1" applyFont="1" applyFill="1" applyBorder="1" applyAlignment="1">
      <alignment vertical="center"/>
    </xf>
    <xf numFmtId="0" fontId="51" fillId="0" borderId="0" xfId="2" applyFont="1" applyAlignment="1">
      <alignment horizontal="center" vertical="center"/>
    </xf>
    <xf numFmtId="164" fontId="41" fillId="0" borderId="0" xfId="9" applyNumberFormat="1" applyFont="1" applyFill="1" applyBorder="1" applyAlignment="1">
      <alignment horizontal="right" vertical="center"/>
    </xf>
    <xf numFmtId="44" fontId="65" fillId="0" borderId="0" xfId="9" quotePrefix="1" applyFont="1" applyFill="1" applyBorder="1" applyAlignment="1">
      <alignment vertical="center"/>
    </xf>
    <xf numFmtId="0" fontId="55" fillId="0" borderId="0" xfId="0" quotePrefix="1" applyFont="1"/>
    <xf numFmtId="0" fontId="66" fillId="0" borderId="0" xfId="2" applyFont="1" applyAlignment="1">
      <alignment horizontal="left" vertical="center"/>
    </xf>
    <xf numFmtId="0" fontId="46" fillId="8" borderId="0" xfId="2" applyFont="1" applyFill="1" applyAlignment="1">
      <alignment horizontal="center" vertical="center"/>
    </xf>
    <xf numFmtId="0" fontId="0" fillId="0" borderId="34" xfId="0" applyBorder="1"/>
    <xf numFmtId="0" fontId="24" fillId="0" borderId="35" xfId="8" applyFont="1" applyBorder="1" applyAlignment="1">
      <alignment vertical="center"/>
    </xf>
    <xf numFmtId="0" fontId="0" fillId="0" borderId="15" xfId="0" applyBorder="1"/>
    <xf numFmtId="165" fontId="32" fillId="11" borderId="21" xfId="1" applyNumberFormat="1" applyFont="1" applyFill="1" applyBorder="1" applyAlignment="1">
      <alignment vertical="center"/>
    </xf>
    <xf numFmtId="165" fontId="32" fillId="11" borderId="21" xfId="1" applyNumberFormat="1" applyFont="1" applyFill="1" applyBorder="1" applyAlignment="1">
      <alignment horizontal="center" vertical="center"/>
    </xf>
    <xf numFmtId="165" fontId="32" fillId="11" borderId="28" xfId="1" applyNumberFormat="1" applyFont="1" applyFill="1" applyBorder="1" applyAlignment="1">
      <alignment horizontal="center" vertical="center"/>
    </xf>
    <xf numFmtId="44" fontId="32" fillId="11" borderId="21" xfId="9" applyFont="1" applyFill="1" applyBorder="1" applyAlignment="1">
      <alignment vertical="center"/>
    </xf>
    <xf numFmtId="44" fontId="32" fillId="11" borderId="28" xfId="9" applyFont="1" applyFill="1" applyBorder="1" applyAlignment="1">
      <alignment vertical="center"/>
    </xf>
    <xf numFmtId="44" fontId="57" fillId="11" borderId="20" xfId="9" applyFont="1" applyFill="1" applyBorder="1" applyAlignment="1">
      <alignment vertical="center"/>
    </xf>
    <xf numFmtId="9" fontId="57" fillId="11" borderId="21" xfId="6" applyFont="1" applyFill="1" applyBorder="1" applyAlignment="1">
      <alignment vertical="center"/>
    </xf>
    <xf numFmtId="44" fontId="57" fillId="11" borderId="21" xfId="9" applyFont="1" applyFill="1" applyBorder="1" applyAlignment="1">
      <alignment horizontal="right" vertical="center"/>
    </xf>
    <xf numFmtId="44" fontId="57" fillId="6" borderId="21" xfId="9" applyFont="1" applyFill="1" applyBorder="1" applyAlignment="1">
      <alignment vertical="center"/>
    </xf>
    <xf numFmtId="44" fontId="57" fillId="11" borderId="21" xfId="9" applyFont="1" applyFill="1" applyBorder="1" applyAlignment="1">
      <alignment vertical="center"/>
    </xf>
    <xf numFmtId="44" fontId="57" fillId="11" borderId="28" xfId="9" applyFont="1" applyFill="1" applyBorder="1" applyAlignment="1">
      <alignment vertical="center"/>
    </xf>
    <xf numFmtId="44" fontId="32" fillId="4" borderId="25" xfId="9" applyFont="1" applyFill="1" applyBorder="1" applyAlignment="1">
      <alignment vertical="center"/>
    </xf>
    <xf numFmtId="44" fontId="32" fillId="4" borderId="8" xfId="9" applyFont="1" applyFill="1" applyBorder="1" applyAlignment="1">
      <alignment horizontal="right" vertical="center"/>
    </xf>
    <xf numFmtId="0" fontId="32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69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0" fillId="13" borderId="0" xfId="2" applyFont="1" applyFill="1" applyAlignment="1">
      <alignment vertical="center"/>
    </xf>
    <xf numFmtId="0" fontId="71" fillId="12" borderId="18" xfId="0" quotePrefix="1" applyFont="1" applyFill="1" applyBorder="1" applyAlignment="1">
      <alignment horizontal="left" vertical="center" wrapText="1"/>
    </xf>
    <xf numFmtId="0" fontId="71" fillId="12" borderId="24" xfId="0" quotePrefix="1" applyFont="1" applyFill="1" applyBorder="1" applyAlignment="1">
      <alignment horizontal="left" vertical="center" wrapText="1"/>
    </xf>
    <xf numFmtId="0" fontId="71" fillId="12" borderId="19" xfId="0" applyFont="1" applyFill="1" applyBorder="1" applyAlignment="1">
      <alignment vertical="center" wrapText="1"/>
    </xf>
    <xf numFmtId="0" fontId="71" fillId="12" borderId="19" xfId="0" quotePrefix="1" applyFont="1" applyFill="1" applyBorder="1" applyAlignment="1">
      <alignment horizontal="left" vertical="center" wrapText="1"/>
    </xf>
    <xf numFmtId="0" fontId="71" fillId="12" borderId="19" xfId="0" applyFont="1" applyFill="1" applyBorder="1" applyAlignment="1">
      <alignment horizontal="left" vertical="center" wrapText="1"/>
    </xf>
    <xf numFmtId="0" fontId="72" fillId="12" borderId="19" xfId="2" applyFont="1" applyFill="1" applyBorder="1" applyAlignment="1">
      <alignment vertical="center" wrapText="1"/>
    </xf>
    <xf numFmtId="169" fontId="71" fillId="4" borderId="19" xfId="0" applyNumberFormat="1" applyFont="1" applyFill="1" applyBorder="1" applyAlignment="1">
      <alignment horizontal="center" vertical="center" wrapText="1"/>
    </xf>
    <xf numFmtId="169" fontId="71" fillId="4" borderId="19" xfId="6" applyNumberFormat="1" applyFont="1" applyFill="1" applyBorder="1" applyAlignment="1">
      <alignment horizontal="center" vertical="center" wrapText="1"/>
    </xf>
    <xf numFmtId="168" fontId="71" fillId="4" borderId="19" xfId="4" applyNumberFormat="1" applyFont="1" applyFill="1" applyBorder="1" applyAlignment="1">
      <alignment horizontal="center" vertical="center" wrapText="1"/>
    </xf>
    <xf numFmtId="4" fontId="71" fillId="4" borderId="19" xfId="6" applyNumberFormat="1" applyFont="1" applyFill="1" applyBorder="1" applyAlignment="1">
      <alignment horizontal="center" vertical="center" wrapText="1"/>
    </xf>
    <xf numFmtId="168" fontId="72" fillId="6" borderId="19" xfId="2" applyNumberFormat="1" applyFont="1" applyFill="1" applyBorder="1" applyAlignment="1">
      <alignment horizontal="center" vertical="center" wrapText="1"/>
    </xf>
    <xf numFmtId="169" fontId="72" fillId="6" borderId="19" xfId="2" applyNumberFormat="1" applyFont="1" applyFill="1" applyBorder="1" applyAlignment="1">
      <alignment horizontal="center" vertical="center" wrapText="1"/>
    </xf>
    <xf numFmtId="166" fontId="72" fillId="6" borderId="19" xfId="2" applyNumberFormat="1" applyFont="1" applyFill="1" applyBorder="1" applyAlignment="1">
      <alignment horizontal="center" vertical="center" wrapText="1"/>
    </xf>
    <xf numFmtId="0" fontId="71" fillId="12" borderId="19" xfId="0" applyFont="1" applyFill="1" applyBorder="1" applyAlignment="1">
      <alignment vertical="center"/>
    </xf>
    <xf numFmtId="0" fontId="72" fillId="12" borderId="19" xfId="2" applyFont="1" applyFill="1" applyBorder="1" applyAlignment="1">
      <alignment vertical="center"/>
    </xf>
    <xf numFmtId="0" fontId="71" fillId="12" borderId="18" xfId="0" quotePrefix="1" applyFont="1" applyFill="1" applyBorder="1" applyAlignment="1">
      <alignment horizontal="left" vertical="center"/>
    </xf>
    <xf numFmtId="0" fontId="71" fillId="12" borderId="24" xfId="0" quotePrefix="1" applyFont="1" applyFill="1" applyBorder="1" applyAlignment="1">
      <alignment horizontal="left" vertical="center"/>
    </xf>
    <xf numFmtId="0" fontId="71" fillId="12" borderId="19" xfId="0" quotePrefix="1" applyFont="1" applyFill="1" applyBorder="1" applyAlignment="1">
      <alignment horizontal="left" vertical="center"/>
    </xf>
    <xf numFmtId="0" fontId="71" fillId="12" borderId="13" xfId="0" quotePrefix="1" applyFont="1" applyFill="1" applyBorder="1" applyAlignment="1">
      <alignment horizontal="left" vertical="center"/>
    </xf>
    <xf numFmtId="0" fontId="71" fillId="12" borderId="22" xfId="0" quotePrefix="1" applyFont="1" applyFill="1" applyBorder="1" applyAlignment="1">
      <alignment horizontal="left" vertical="center"/>
    </xf>
    <xf numFmtId="0" fontId="71" fillId="12" borderId="14" xfId="0" applyFont="1" applyFill="1" applyBorder="1" applyAlignment="1">
      <alignment vertical="center"/>
    </xf>
    <xf numFmtId="0" fontId="71" fillId="12" borderId="14" xfId="0" quotePrefix="1" applyFont="1" applyFill="1" applyBorder="1" applyAlignment="1">
      <alignment horizontal="left" vertical="center" wrapText="1"/>
    </xf>
    <xf numFmtId="0" fontId="71" fillId="12" borderId="14" xfId="0" applyFont="1" applyFill="1" applyBorder="1" applyAlignment="1">
      <alignment horizontal="left" vertical="center" wrapText="1"/>
    </xf>
    <xf numFmtId="0" fontId="72" fillId="12" borderId="14" xfId="2" applyFont="1" applyFill="1" applyBorder="1" applyAlignment="1">
      <alignment vertical="center"/>
    </xf>
    <xf numFmtId="0" fontId="71" fillId="13" borderId="18" xfId="0" quotePrefix="1" applyFont="1" applyFill="1" applyBorder="1" applyAlignment="1">
      <alignment horizontal="left" vertical="center" wrapText="1"/>
    </xf>
    <xf numFmtId="0" fontId="71" fillId="13" borderId="19" xfId="0" applyFont="1" applyFill="1" applyBorder="1" applyAlignment="1">
      <alignment vertical="center" wrapText="1"/>
    </xf>
    <xf numFmtId="0" fontId="71" fillId="13" borderId="19" xfId="0" quotePrefix="1" applyFont="1" applyFill="1" applyBorder="1" applyAlignment="1">
      <alignment horizontal="left" vertical="center" wrapText="1"/>
    </xf>
    <xf numFmtId="0" fontId="71" fillId="13" borderId="19" xfId="0" applyFont="1" applyFill="1" applyBorder="1" applyAlignment="1">
      <alignment horizontal="left" vertical="center" wrapText="1"/>
    </xf>
    <xf numFmtId="0" fontId="72" fillId="13" borderId="19" xfId="2" applyFont="1" applyFill="1" applyBorder="1" applyAlignment="1">
      <alignment vertical="center" wrapText="1"/>
    </xf>
    <xf numFmtId="166" fontId="71" fillId="13" borderId="19" xfId="0" applyNumberFormat="1" applyFont="1" applyFill="1" applyBorder="1" applyAlignment="1">
      <alignment horizontal="center" vertical="center" wrapText="1"/>
    </xf>
    <xf numFmtId="2" fontId="71" fillId="4" borderId="19" xfId="0" applyNumberFormat="1" applyFont="1" applyFill="1" applyBorder="1" applyAlignment="1">
      <alignment horizontal="center" vertical="center" wrapText="1"/>
    </xf>
    <xf numFmtId="9" fontId="71" fillId="4" borderId="19" xfId="6" applyFont="1" applyFill="1" applyBorder="1" applyAlignment="1">
      <alignment horizontal="center" vertical="center" wrapText="1"/>
    </xf>
    <xf numFmtId="166" fontId="71" fillId="4" borderId="19" xfId="11" applyNumberFormat="1" applyFont="1" applyFill="1" applyBorder="1" applyAlignment="1">
      <alignment horizontal="center" vertical="center" wrapText="1"/>
    </xf>
    <xf numFmtId="167" fontId="72" fillId="6" borderId="19" xfId="2" applyNumberFormat="1" applyFont="1" applyFill="1" applyBorder="1" applyAlignment="1">
      <alignment horizontal="center" vertical="center" wrapText="1"/>
    </xf>
    <xf numFmtId="0" fontId="72" fillId="0" borderId="5" xfId="2" applyFont="1" applyBorder="1" applyAlignment="1">
      <alignment horizontal="center" vertical="center" wrapText="1"/>
    </xf>
    <xf numFmtId="0" fontId="71" fillId="13" borderId="19" xfId="0" applyFont="1" applyFill="1" applyBorder="1" applyAlignment="1">
      <alignment vertical="center"/>
    </xf>
    <xf numFmtId="166" fontId="71" fillId="4" borderId="19" xfId="4" applyNumberFormat="1" applyFont="1" applyFill="1" applyBorder="1" applyAlignment="1">
      <alignment horizontal="center" vertical="center" wrapText="1"/>
    </xf>
    <xf numFmtId="0" fontId="72" fillId="13" borderId="19" xfId="2" applyFont="1" applyFill="1" applyBorder="1" applyAlignment="1">
      <alignment vertical="center"/>
    </xf>
    <xf numFmtId="166" fontId="71" fillId="13" borderId="19" xfId="0" applyNumberFormat="1" applyFont="1" applyFill="1" applyBorder="1" applyAlignment="1">
      <alignment horizontal="center" vertical="center"/>
    </xf>
    <xf numFmtId="166" fontId="71" fillId="13" borderId="19" xfId="0" quotePrefix="1" applyNumberFormat="1" applyFont="1" applyFill="1" applyBorder="1" applyAlignment="1">
      <alignment horizontal="center" vertical="center" wrapText="1"/>
    </xf>
    <xf numFmtId="0" fontId="71" fillId="13" borderId="18" xfId="0" quotePrefix="1" applyFont="1" applyFill="1" applyBorder="1" applyAlignment="1">
      <alignment horizontal="left" vertical="center"/>
    </xf>
    <xf numFmtId="0" fontId="71" fillId="13" borderId="19" xfId="0" quotePrefix="1" applyFont="1" applyFill="1" applyBorder="1" applyAlignment="1">
      <alignment horizontal="left" vertical="center"/>
    </xf>
    <xf numFmtId="166" fontId="71" fillId="13" borderId="19" xfId="0" quotePrefix="1" applyNumberFormat="1" applyFont="1" applyFill="1" applyBorder="1" applyAlignment="1">
      <alignment horizontal="center" vertical="center"/>
    </xf>
    <xf numFmtId="0" fontId="71" fillId="13" borderId="36" xfId="0" quotePrefix="1" applyFont="1" applyFill="1" applyBorder="1" applyAlignment="1">
      <alignment horizontal="left" vertical="center"/>
    </xf>
    <xf numFmtId="0" fontId="71" fillId="13" borderId="37" xfId="0" applyFont="1" applyFill="1" applyBorder="1" applyAlignment="1">
      <alignment vertical="center"/>
    </xf>
    <xf numFmtId="0" fontId="71" fillId="13" borderId="37" xfId="0" quotePrefix="1" applyFont="1" applyFill="1" applyBorder="1" applyAlignment="1">
      <alignment horizontal="left" vertical="center" wrapText="1"/>
    </xf>
    <xf numFmtId="0" fontId="71" fillId="13" borderId="37" xfId="0" applyFont="1" applyFill="1" applyBorder="1" applyAlignment="1">
      <alignment horizontal="left" vertical="center" wrapText="1"/>
    </xf>
    <xf numFmtId="0" fontId="72" fillId="13" borderId="37" xfId="2" applyFont="1" applyFill="1" applyBorder="1" applyAlignment="1">
      <alignment vertical="center"/>
    </xf>
    <xf numFmtId="166" fontId="71" fillId="13" borderId="37" xfId="0" applyNumberFormat="1" applyFont="1" applyFill="1" applyBorder="1" applyAlignment="1">
      <alignment horizontal="center" vertical="center"/>
    </xf>
    <xf numFmtId="2" fontId="71" fillId="4" borderId="37" xfId="0" applyNumberFormat="1" applyFont="1" applyFill="1" applyBorder="1" applyAlignment="1">
      <alignment horizontal="center" vertical="center" wrapText="1"/>
    </xf>
    <xf numFmtId="9" fontId="71" fillId="4" borderId="37" xfId="6" applyFont="1" applyFill="1" applyBorder="1" applyAlignment="1">
      <alignment horizontal="center" vertical="center" wrapText="1"/>
    </xf>
    <xf numFmtId="166" fontId="71" fillId="4" borderId="37" xfId="4" applyNumberFormat="1" applyFont="1" applyFill="1" applyBorder="1" applyAlignment="1">
      <alignment horizontal="center" vertical="center" wrapText="1"/>
    </xf>
    <xf numFmtId="0" fontId="71" fillId="13" borderId="13" xfId="0" quotePrefix="1" applyFont="1" applyFill="1" applyBorder="1" applyAlignment="1">
      <alignment horizontal="left" vertical="center"/>
    </xf>
    <xf numFmtId="0" fontId="71" fillId="13" borderId="14" xfId="0" applyFont="1" applyFill="1" applyBorder="1" applyAlignment="1">
      <alignment vertical="center"/>
    </xf>
    <xf numFmtId="0" fontId="71" fillId="13" borderId="14" xfId="0" quotePrefix="1" applyFont="1" applyFill="1" applyBorder="1" applyAlignment="1">
      <alignment horizontal="left" vertical="center" wrapText="1"/>
    </xf>
    <xf numFmtId="0" fontId="71" fillId="13" borderId="14" xfId="0" applyFont="1" applyFill="1" applyBorder="1" applyAlignment="1">
      <alignment horizontal="left" vertical="center" wrapText="1"/>
    </xf>
    <xf numFmtId="0" fontId="72" fillId="13" borderId="14" xfId="2" applyFont="1" applyFill="1" applyBorder="1" applyAlignment="1">
      <alignment vertical="center"/>
    </xf>
    <xf numFmtId="166" fontId="71" fillId="13" borderId="14" xfId="0" applyNumberFormat="1" applyFont="1" applyFill="1" applyBorder="1" applyAlignment="1">
      <alignment horizontal="center" vertical="center"/>
    </xf>
    <xf numFmtId="2" fontId="71" fillId="4" borderId="14" xfId="0" applyNumberFormat="1" applyFont="1" applyFill="1" applyBorder="1" applyAlignment="1">
      <alignment horizontal="center" vertical="center" wrapText="1"/>
    </xf>
    <xf numFmtId="9" fontId="71" fillId="4" borderId="14" xfId="6" applyFont="1" applyFill="1" applyBorder="1" applyAlignment="1">
      <alignment horizontal="center" vertical="center" wrapText="1"/>
    </xf>
    <xf numFmtId="166" fontId="71" fillId="4" borderId="14" xfId="4" applyNumberFormat="1" applyFont="1" applyFill="1" applyBorder="1" applyAlignment="1">
      <alignment horizontal="center" vertical="center" wrapText="1"/>
    </xf>
    <xf numFmtId="0" fontId="72" fillId="0" borderId="8" xfId="2" applyFont="1" applyBorder="1" applyAlignment="1">
      <alignment horizontal="center" vertical="center" wrapText="1"/>
    </xf>
    <xf numFmtId="0" fontId="72" fillId="0" borderId="5" xfId="2" applyFont="1" applyBorder="1"/>
    <xf numFmtId="0" fontId="73" fillId="0" borderId="5" xfId="2" applyFont="1" applyBorder="1"/>
    <xf numFmtId="0" fontId="73" fillId="0" borderId="8" xfId="2" applyFont="1" applyBorder="1"/>
    <xf numFmtId="0" fontId="74" fillId="9" borderId="1" xfId="2" applyFont="1" applyFill="1" applyBorder="1" applyAlignment="1">
      <alignment horizontal="left" vertical="center"/>
    </xf>
    <xf numFmtId="0" fontId="74" fillId="9" borderId="2" xfId="2" applyFont="1" applyFill="1" applyBorder="1" applyAlignment="1">
      <alignment horizontal="left" vertical="center"/>
    </xf>
    <xf numFmtId="0" fontId="74" fillId="9" borderId="3" xfId="2" applyFont="1" applyFill="1" applyBorder="1" applyAlignment="1">
      <alignment horizontal="left" vertical="center"/>
    </xf>
    <xf numFmtId="0" fontId="73" fillId="0" borderId="4" xfId="2" applyFont="1" applyBorder="1"/>
    <xf numFmtId="0" fontId="73" fillId="0" borderId="0" xfId="2" applyFont="1"/>
    <xf numFmtId="0" fontId="75" fillId="2" borderId="25" xfId="2" applyFont="1" applyFill="1" applyBorder="1" applyAlignment="1">
      <alignment horizontal="center" vertical="center" wrapText="1"/>
    </xf>
    <xf numFmtId="0" fontId="75" fillId="2" borderId="17" xfId="2" applyFont="1" applyFill="1" applyBorder="1" applyAlignment="1">
      <alignment horizontal="center" vertical="center" wrapText="1"/>
    </xf>
    <xf numFmtId="0" fontId="70" fillId="0" borderId="5" xfId="2" applyFont="1" applyBorder="1" applyAlignment="1">
      <alignment horizontal="center" vertical="center"/>
    </xf>
    <xf numFmtId="0" fontId="72" fillId="0" borderId="0" xfId="2" applyFont="1"/>
    <xf numFmtId="0" fontId="72" fillId="0" borderId="0" xfId="2" applyFont="1" applyAlignment="1">
      <alignment horizontal="center"/>
    </xf>
    <xf numFmtId="0" fontId="73" fillId="0" borderId="0" xfId="2" applyFont="1" applyAlignment="1">
      <alignment horizontal="center"/>
    </xf>
    <xf numFmtId="0" fontId="46" fillId="8" borderId="0" xfId="2" applyFont="1" applyFill="1" applyAlignment="1">
      <alignment horizontal="center" vertical="center" wrapText="1"/>
    </xf>
    <xf numFmtId="0" fontId="51" fillId="0" borderId="7" xfId="2" applyFont="1" applyBorder="1" applyAlignment="1">
      <alignment horizontal="center" vertical="center"/>
    </xf>
    <xf numFmtId="0" fontId="46" fillId="8" borderId="0" xfId="2" applyFont="1" applyFill="1" applyAlignment="1">
      <alignment horizontal="center" vertical="center"/>
    </xf>
    <xf numFmtId="44" fontId="57" fillId="6" borderId="21" xfId="9" quotePrefix="1" applyNumberFormat="1" applyFont="1" applyFill="1" applyBorder="1" applyAlignment="1">
      <alignment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topLeftCell="F18" zoomScale="66" zoomScaleNormal="50" workbookViewId="0">
      <selection activeCell="K33" sqref="K33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3.33203125" style="2" hidden="1" customWidth="1"/>
    <col min="21" max="16384" width="8.6640625" style="2"/>
  </cols>
  <sheetData>
    <row r="1" spans="1:27" s="1" customFormat="1" ht="134.25" customHeight="1" thickBot="1">
      <c r="C1" s="9"/>
      <c r="D1" s="9"/>
      <c r="E1" s="9"/>
      <c r="F1" s="9"/>
      <c r="G1" s="9"/>
      <c r="H1" s="9"/>
      <c r="I1" s="9"/>
      <c r="J1" s="9"/>
      <c r="K1" s="9"/>
      <c r="L1" s="9"/>
      <c r="M1" s="9">
        <v>6</v>
      </c>
      <c r="N1" s="9"/>
      <c r="O1" s="9"/>
      <c r="P1" s="9"/>
      <c r="Q1" s="9"/>
      <c r="R1" s="9"/>
      <c r="S1" s="9"/>
    </row>
    <row r="2" spans="1:27" ht="75.900000000000006" customHeight="1">
      <c r="C2" s="33" t="s">
        <v>90</v>
      </c>
      <c r="D2" s="34"/>
      <c r="E2" s="34"/>
      <c r="F2" s="34"/>
      <c r="G2" s="34"/>
      <c r="H2" s="34"/>
      <c r="I2" s="34"/>
      <c r="J2" s="35"/>
      <c r="K2" s="35"/>
      <c r="L2" s="35"/>
      <c r="M2" s="35"/>
      <c r="N2" s="35"/>
      <c r="O2" s="35"/>
      <c r="P2" s="35"/>
      <c r="Q2" s="35"/>
      <c r="R2" s="36"/>
      <c r="S2" s="9"/>
    </row>
    <row r="3" spans="1:27" ht="12" customHeight="1">
      <c r="C3" s="37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38"/>
      <c r="T3" s="22"/>
      <c r="U3" s="22"/>
      <c r="V3" s="22"/>
      <c r="W3" s="22"/>
      <c r="X3" s="22"/>
      <c r="Y3" s="22"/>
      <c r="Z3" s="22"/>
      <c r="AA3" s="23"/>
    </row>
    <row r="4" spans="1:27" ht="6.75" customHeight="1" thickBot="1">
      <c r="C4" s="39"/>
      <c r="D4" s="40"/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2"/>
    </row>
    <row r="5" spans="1:27" ht="37.200000000000003" thickBot="1">
      <c r="C5" s="82" t="s">
        <v>26</v>
      </c>
      <c r="D5" s="83"/>
      <c r="E5" s="83"/>
      <c r="F5" s="83"/>
      <c r="G5" s="83"/>
      <c r="H5" s="83"/>
      <c r="I5" s="83"/>
      <c r="J5" s="83"/>
      <c r="K5" s="83"/>
      <c r="L5" s="84"/>
      <c r="M5" s="83"/>
      <c r="N5" s="83"/>
      <c r="O5" s="83"/>
      <c r="P5" s="83"/>
      <c r="Q5" s="83"/>
      <c r="R5" s="85"/>
      <c r="S5" s="24"/>
    </row>
    <row r="6" spans="1:27" s="15" customFormat="1" ht="33" customHeight="1">
      <c r="C6" s="90" t="s">
        <v>27</v>
      </c>
      <c r="D6" s="179" t="s">
        <v>93</v>
      </c>
      <c r="F6" s="89" t="s">
        <v>43</v>
      </c>
      <c r="G6" s="180" t="s">
        <v>99</v>
      </c>
      <c r="H6" s="45"/>
      <c r="I6" s="88" t="s">
        <v>31</v>
      </c>
      <c r="J6" s="179" t="s">
        <v>101</v>
      </c>
      <c r="L6" s="43"/>
      <c r="M6" s="88"/>
      <c r="N6" s="89" t="s">
        <v>28</v>
      </c>
      <c r="O6" s="182" t="s">
        <v>104</v>
      </c>
      <c r="P6" s="45"/>
      <c r="Q6" s="45"/>
      <c r="R6" s="44"/>
      <c r="S6" s="28"/>
    </row>
    <row r="7" spans="1:27" s="15" customFormat="1" ht="21">
      <c r="C7" s="90" t="s">
        <v>44</v>
      </c>
      <c r="D7" s="211" t="s">
        <v>29</v>
      </c>
      <c r="F7" s="89" t="s">
        <v>45</v>
      </c>
      <c r="G7" s="180" t="s">
        <v>100</v>
      </c>
      <c r="H7" s="45"/>
      <c r="I7" s="89" t="s">
        <v>30</v>
      </c>
      <c r="J7" s="215" t="s">
        <v>102</v>
      </c>
      <c r="L7" s="45"/>
      <c r="M7" s="88"/>
      <c r="N7" s="89" t="s">
        <v>46</v>
      </c>
      <c r="O7" s="180" t="s">
        <v>105</v>
      </c>
      <c r="P7" s="45"/>
      <c r="Q7" s="45"/>
      <c r="R7" s="46"/>
      <c r="S7" s="29"/>
    </row>
    <row r="8" spans="1:27" s="15" customFormat="1" ht="21">
      <c r="C8" s="91" t="s">
        <v>47</v>
      </c>
      <c r="D8" s="87" t="s">
        <v>94</v>
      </c>
      <c r="F8" s="86"/>
      <c r="G8" s="86"/>
      <c r="H8" s="45"/>
      <c r="I8" s="88" t="s">
        <v>48</v>
      </c>
      <c r="J8" s="215" t="s">
        <v>103</v>
      </c>
      <c r="L8" s="92"/>
      <c r="M8" s="88"/>
      <c r="N8" s="98" t="s">
        <v>50</v>
      </c>
      <c r="O8" s="181" t="s">
        <v>106</v>
      </c>
      <c r="P8" s="45"/>
      <c r="Q8" s="45"/>
      <c r="R8" s="47"/>
      <c r="S8" s="30"/>
    </row>
    <row r="9" spans="1:27" s="15" customFormat="1" ht="21">
      <c r="C9" s="91" t="s">
        <v>49</v>
      </c>
      <c r="D9" s="179" t="s">
        <v>95</v>
      </c>
      <c r="F9" s="86"/>
      <c r="G9" s="86"/>
      <c r="I9" s="45"/>
      <c r="J9" s="45"/>
      <c r="L9" s="45"/>
      <c r="M9" s="45"/>
      <c r="P9" s="192"/>
      <c r="Q9" s="192"/>
      <c r="R9" s="48"/>
      <c r="S9" s="26"/>
    </row>
    <row r="10" spans="1:27" s="15" customFormat="1" ht="21">
      <c r="C10" s="91" t="s">
        <v>51</v>
      </c>
      <c r="D10" s="179" t="s">
        <v>96</v>
      </c>
      <c r="F10" s="86"/>
      <c r="G10" s="86"/>
      <c r="I10" s="45"/>
      <c r="J10" s="45"/>
      <c r="L10" s="45"/>
      <c r="M10" s="45"/>
      <c r="R10" s="48"/>
      <c r="S10" s="26"/>
    </row>
    <row r="11" spans="1:27" s="15" customFormat="1" ht="21">
      <c r="C11" s="91" t="s">
        <v>52</v>
      </c>
      <c r="D11" s="179" t="s">
        <v>97</v>
      </c>
      <c r="F11" s="86"/>
      <c r="G11" s="45"/>
      <c r="H11" s="45"/>
      <c r="I11" s="45"/>
      <c r="J11" s="45"/>
      <c r="L11" s="45"/>
      <c r="M11" s="45"/>
      <c r="R11" s="48"/>
      <c r="S11" s="26"/>
    </row>
    <row r="12" spans="1:27" s="15" customFormat="1" ht="39.75" customHeight="1">
      <c r="C12" s="91" t="s">
        <v>53</v>
      </c>
      <c r="D12" s="179" t="s">
        <v>98</v>
      </c>
      <c r="F12" s="86"/>
      <c r="G12" s="93"/>
      <c r="H12" s="45"/>
      <c r="I12" s="45"/>
      <c r="J12" s="94"/>
      <c r="K12" s="95"/>
      <c r="L12" s="45"/>
      <c r="M12" s="45"/>
      <c r="R12" s="49"/>
      <c r="S12" s="26"/>
    </row>
    <row r="13" spans="1:27" s="15" customFormat="1" ht="21.6" thickBot="1">
      <c r="C13" s="50"/>
      <c r="D13" s="51"/>
      <c r="E13" s="52"/>
      <c r="F13" s="81"/>
      <c r="G13" s="81"/>
      <c r="H13" s="53"/>
      <c r="I13" s="53"/>
      <c r="J13" s="54"/>
      <c r="K13" s="53"/>
      <c r="L13" s="53"/>
      <c r="M13" s="53"/>
      <c r="N13" s="53"/>
      <c r="O13" s="53"/>
      <c r="P13" s="53"/>
      <c r="Q13" s="53"/>
      <c r="R13" s="55"/>
      <c r="S13" s="26"/>
    </row>
    <row r="14" spans="1:27" ht="24" thickBot="1">
      <c r="C14" s="56"/>
      <c r="D14" s="56"/>
      <c r="E14" s="57"/>
      <c r="F14" s="58"/>
      <c r="G14" s="59"/>
      <c r="H14" s="60"/>
      <c r="I14" s="61"/>
      <c r="J14" s="62"/>
      <c r="K14" s="63"/>
      <c r="L14" s="63"/>
      <c r="M14" s="63"/>
      <c r="N14" s="63"/>
      <c r="O14" s="63"/>
      <c r="P14" s="63"/>
      <c r="Q14" s="63"/>
      <c r="R14" s="64"/>
      <c r="S14" s="23"/>
    </row>
    <row r="15" spans="1:27" ht="37.200000000000003" thickBot="1">
      <c r="A15" s="6"/>
      <c r="C15" s="153" t="s">
        <v>32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24"/>
    </row>
    <row r="16" spans="1:27" s="5" customFormat="1" ht="31.2">
      <c r="A16" s="10"/>
      <c r="C16" s="65"/>
      <c r="D16" s="66"/>
      <c r="E16" s="66"/>
      <c r="F16" s="66"/>
      <c r="G16" s="66"/>
      <c r="H16" s="66"/>
      <c r="I16" s="68"/>
      <c r="J16" s="68"/>
      <c r="K16" s="68"/>
      <c r="L16" s="68"/>
      <c r="M16" s="68"/>
      <c r="N16" s="68"/>
      <c r="O16" s="68"/>
      <c r="P16" s="68"/>
      <c r="Q16" s="68"/>
      <c r="R16" s="70"/>
      <c r="S16" s="18"/>
    </row>
    <row r="17" spans="1:20" s="135" customFormat="1" ht="49.5" customHeight="1" thickBot="1">
      <c r="A17" s="156"/>
      <c r="C17" s="134"/>
      <c r="D17" s="293" t="s">
        <v>89</v>
      </c>
      <c r="E17" s="293"/>
      <c r="F17" s="157"/>
      <c r="G17" s="293" t="s">
        <v>91</v>
      </c>
      <c r="H17" s="293"/>
      <c r="I17" s="157"/>
      <c r="J17" s="293" t="s">
        <v>54</v>
      </c>
      <c r="K17" s="293"/>
      <c r="L17" s="113"/>
      <c r="M17" s="114"/>
      <c r="N17" s="293" t="s">
        <v>92</v>
      </c>
      <c r="O17" s="293"/>
      <c r="P17" s="189"/>
      <c r="Q17" s="189"/>
      <c r="R17" s="158"/>
      <c r="S17" s="31"/>
    </row>
    <row r="18" spans="1:20" s="5" customFormat="1" ht="18.600000000000001" thickBot="1">
      <c r="A18" s="10"/>
      <c r="C18" s="69"/>
      <c r="D18" s="68"/>
      <c r="E18" s="68"/>
      <c r="F18" s="68"/>
      <c r="G18" s="68"/>
      <c r="H18" s="68"/>
      <c r="I18" s="68"/>
      <c r="J18" s="68"/>
      <c r="K18" s="68"/>
      <c r="L18" s="68"/>
      <c r="M18" s="136"/>
      <c r="R18" s="159"/>
      <c r="S18" s="74"/>
      <c r="T18" s="213" t="s">
        <v>147</v>
      </c>
    </row>
    <row r="19" spans="1:20" s="5" customFormat="1" ht="24" thickBot="1">
      <c r="A19" s="10"/>
      <c r="C19" s="69"/>
      <c r="D19" s="110" t="s">
        <v>0</v>
      </c>
      <c r="E19" s="147"/>
      <c r="F19" s="45"/>
      <c r="G19" s="67" t="s">
        <v>33</v>
      </c>
      <c r="H19" s="184" t="str">
        <f>IF(H27&gt;0,H27,(SUM(H20:H26)+H28))</f>
        <v>{*du|var:scBOMOverride|ft:com.lcs.wc.sourcing.LCSCostSheet}</v>
      </c>
      <c r="I19" s="137"/>
      <c r="J19" s="104" t="s">
        <v>73</v>
      </c>
      <c r="K19" s="203" t="s">
        <v>129</v>
      </c>
      <c r="L19" s="137"/>
      <c r="M19" s="74"/>
      <c r="N19" s="133" t="s">
        <v>79</v>
      </c>
      <c r="O19" s="187" t="e">
        <f>H19+K19+K22+K26+K27</f>
        <v>#VALUE!</v>
      </c>
      <c r="P19" s="190"/>
      <c r="Q19" s="190"/>
      <c r="R19" s="160"/>
      <c r="S19" s="115"/>
      <c r="T19" s="214">
        <f>SUMIF(C205:C220,'Data Validation'!A2,P205:P220)</f>
        <v>0</v>
      </c>
    </row>
    <row r="20" spans="1:20" s="5" customFormat="1" ht="24" thickBot="1">
      <c r="A20" s="10"/>
      <c r="C20" s="69"/>
      <c r="D20" s="107" t="s">
        <v>12</v>
      </c>
      <c r="E20" s="148"/>
      <c r="F20" s="45"/>
      <c r="G20" s="128" t="s">
        <v>67</v>
      </c>
      <c r="H20" s="185">
        <f>SUMIF(C50:C200,'Data Validation'!A2,P50:P200)+SUMIF(C205:C220,'Data Validation'!A2,P205:P220)</f>
        <v>0</v>
      </c>
      <c r="I20" s="71" t="s">
        <v>55</v>
      </c>
      <c r="J20" s="105" t="s">
        <v>74</v>
      </c>
      <c r="K20" s="204" t="s">
        <v>130</v>
      </c>
      <c r="L20" s="71"/>
      <c r="M20" s="74"/>
      <c r="N20" s="145" t="s">
        <v>21</v>
      </c>
      <c r="O20" s="187" t="str">
        <f>IF(K30&lt;&gt;0, K30, O19+K28)</f>
        <v>{*du|var:scVendorCost|ft:com.lcs.wc.sourcing.LCSCostSheet}</v>
      </c>
      <c r="P20" s="191"/>
      <c r="Q20" s="191"/>
      <c r="R20" s="161"/>
      <c r="S20" s="119"/>
      <c r="T20" s="212">
        <f>SUMIF(C205:C220,'Data Validation'!A3,P205:P220)</f>
        <v>0</v>
      </c>
    </row>
    <row r="21" spans="1:20" s="5" customFormat="1" ht="24" thickBot="1">
      <c r="A21" s="10"/>
      <c r="C21" s="69"/>
      <c r="D21" s="107" t="s">
        <v>13</v>
      </c>
      <c r="E21" s="148"/>
      <c r="F21" s="45"/>
      <c r="G21" s="129" t="s">
        <v>68</v>
      </c>
      <c r="H21" s="186">
        <f>SUMIF(C50:C200,'Data Validation'!A3,P50:P200)+SUMIF(C205:C220,'Data Validation'!A3,P205:P220)</f>
        <v>0</v>
      </c>
      <c r="I21" s="71" t="s">
        <v>55</v>
      </c>
      <c r="J21" s="105" t="s">
        <v>75</v>
      </c>
      <c r="K21" s="205" t="s">
        <v>131</v>
      </c>
      <c r="L21" s="71"/>
      <c r="M21" s="74"/>
      <c r="N21" s="146" t="s">
        <v>23</v>
      </c>
      <c r="O21" s="188" t="e">
        <f>O20+K31+K33+K34</f>
        <v>#VALUE!</v>
      </c>
      <c r="P21" s="191"/>
      <c r="Q21" s="191"/>
      <c r="R21" s="161"/>
      <c r="S21" s="118"/>
      <c r="T21" s="212">
        <f>SUMIF(C205:C220,'Data Validation'!A4,P205:P220)</f>
        <v>0</v>
      </c>
    </row>
    <row r="22" spans="1:20" s="5" customFormat="1" ht="21.6" thickBot="1">
      <c r="A22" s="10"/>
      <c r="C22" s="69"/>
      <c r="D22" s="111" t="s">
        <v>16</v>
      </c>
      <c r="E22" s="149" t="s">
        <v>146</v>
      </c>
      <c r="F22" s="45"/>
      <c r="G22" s="129" t="s">
        <v>69</v>
      </c>
      <c r="H22" s="186">
        <f>SUMIF(C50:C200,'Data Validation'!A4,P50:P200)+SUMIF(C205:C220,'Data Validation'!A4,P205:P220)</f>
        <v>0</v>
      </c>
      <c r="I22" s="71" t="s">
        <v>55</v>
      </c>
      <c r="J22" s="105" t="s">
        <v>76</v>
      </c>
      <c r="K22" s="206" t="str">
        <f>IF(K21&gt;0, K21, K19*K20/100)</f>
        <v>{*du|var:scOverheadOverride|ft:com.lcs.wc.sourcing.LCSCostSheet}</v>
      </c>
      <c r="L22" s="71"/>
      <c r="M22" s="74"/>
      <c r="N22" s="121"/>
      <c r="O22" s="117"/>
      <c r="P22" s="117"/>
      <c r="Q22" s="117"/>
      <c r="R22" s="162"/>
      <c r="S22" s="115"/>
      <c r="T22" s="212">
        <f>SUMIF(C205:C220,'Data Validation'!A5,P205:P220)</f>
        <v>0</v>
      </c>
    </row>
    <row r="23" spans="1:20" s="5" customFormat="1" ht="21.6" thickBot="1">
      <c r="A23" s="10"/>
      <c r="C23" s="69"/>
      <c r="D23" s="111" t="s">
        <v>15</v>
      </c>
      <c r="E23" s="150" t="s">
        <v>107</v>
      </c>
      <c r="F23" s="45"/>
      <c r="G23" s="130" t="s">
        <v>70</v>
      </c>
      <c r="H23" s="186">
        <f>SUMIF(C50:C200,'Data Validation'!A5,P50:P200)+SUMIF(C205:C220,'Data Validation'!A5,P205:P220)</f>
        <v>0</v>
      </c>
      <c r="I23" s="71" t="s">
        <v>55</v>
      </c>
      <c r="J23" s="105" t="s">
        <v>88</v>
      </c>
      <c r="K23" s="206" t="e">
        <f>K19+K22</f>
        <v>#VALUE!</v>
      </c>
      <c r="L23" s="71"/>
      <c r="M23" s="74"/>
      <c r="N23" s="120"/>
      <c r="O23" s="117"/>
      <c r="P23" s="117"/>
      <c r="Q23" s="117"/>
      <c r="R23" s="163"/>
      <c r="S23" s="119"/>
      <c r="T23" s="212">
        <f>SUMIF(C205:C220,'Data Validation'!A6,P205:P220)</f>
        <v>0</v>
      </c>
    </row>
    <row r="24" spans="1:20" s="5" customFormat="1" ht="21.6" thickBot="1">
      <c r="A24" s="10"/>
      <c r="C24" s="69"/>
      <c r="D24" s="106" t="s">
        <v>25</v>
      </c>
      <c r="E24" s="150" t="s">
        <v>108</v>
      </c>
      <c r="F24" s="45"/>
      <c r="G24" s="129" t="s">
        <v>71</v>
      </c>
      <c r="H24" s="186">
        <f>SUMIF(C50:C200,'Data Validation'!A6,P50:P200)+SUMIF(C205:C220,'Data Validation'!A6,P205:P220)</f>
        <v>0</v>
      </c>
      <c r="I24" s="71" t="s">
        <v>55</v>
      </c>
      <c r="J24" s="105" t="s">
        <v>17</v>
      </c>
      <c r="K24" s="204" t="s">
        <v>132</v>
      </c>
      <c r="L24" s="71"/>
      <c r="M24" s="74"/>
      <c r="N24" s="116"/>
      <c r="O24" s="117"/>
      <c r="P24" s="117"/>
      <c r="Q24" s="117"/>
      <c r="R24" s="163"/>
      <c r="S24" s="119"/>
      <c r="T24" s="212">
        <f ca="1">SUMIF(C205:C220,'Data Validation'!A7,P205:P211)</f>
        <v>0</v>
      </c>
    </row>
    <row r="25" spans="1:20" s="5" customFormat="1" ht="21.6" thickBot="1">
      <c r="A25" s="10"/>
      <c r="C25" s="69"/>
      <c r="D25" s="108" t="s">
        <v>82</v>
      </c>
      <c r="E25" s="198" t="s">
        <v>122</v>
      </c>
      <c r="F25" s="45"/>
      <c r="G25" s="129" t="s">
        <v>72</v>
      </c>
      <c r="H25" s="186">
        <f>SUMIF(C50:C200,'Data Validation'!A7,P50:P200)+SUMIF(C205:C220,'Data Validation'!A7,P205:P220)</f>
        <v>0</v>
      </c>
      <c r="I25" s="71" t="s">
        <v>55</v>
      </c>
      <c r="J25" s="105" t="s">
        <v>77</v>
      </c>
      <c r="K25" s="205" t="s">
        <v>133</v>
      </c>
      <c r="L25" s="71"/>
      <c r="M25" s="74"/>
      <c r="N25" s="116"/>
      <c r="O25" s="117"/>
      <c r="P25" s="117"/>
      <c r="Q25" s="117"/>
      <c r="R25" s="163"/>
      <c r="S25" s="119"/>
      <c r="T25" s="212">
        <f ca="1">SUMIF(C205:C220,'Data Validation'!A8,P205:P211)</f>
        <v>0</v>
      </c>
    </row>
    <row r="26" spans="1:20" s="5" customFormat="1" ht="21">
      <c r="A26" s="10"/>
      <c r="C26" s="69"/>
      <c r="D26" s="108" t="s">
        <v>83</v>
      </c>
      <c r="E26" s="151" t="s">
        <v>120</v>
      </c>
      <c r="F26" s="45"/>
      <c r="G26" s="129" t="s">
        <v>1</v>
      </c>
      <c r="H26" s="186">
        <f>SUMIF(C50:C200,'Data Validation'!A8,P50:P200)+SUMIF(C205:C220,'Data Validation'!A8,P205:P220)</f>
        <v>0</v>
      </c>
      <c r="I26" s="164"/>
      <c r="J26" s="105" t="s">
        <v>18</v>
      </c>
      <c r="K26" s="206" t="str">
        <f>IF(K25&gt;0,K25,(H19+K23)*K24/100)</f>
        <v>{*du|var:scProfitOverride|ft:com.lcs.wc.sourcing.LCSCostSheet}</v>
      </c>
      <c r="L26" s="164"/>
      <c r="M26" s="74"/>
      <c r="N26" s="116"/>
      <c r="O26" s="117"/>
      <c r="P26" s="117"/>
      <c r="Q26" s="117"/>
      <c r="R26" s="163"/>
      <c r="S26" s="119"/>
    </row>
    <row r="27" spans="1:20" s="5" customFormat="1" ht="21.6" thickBot="1">
      <c r="A27" s="10"/>
      <c r="C27" s="69"/>
      <c r="D27" s="108" t="s">
        <v>84</v>
      </c>
      <c r="E27" s="199" t="s">
        <v>121</v>
      </c>
      <c r="F27" s="45"/>
      <c r="G27" s="131" t="s">
        <v>11</v>
      </c>
      <c r="H27" s="209" t="s">
        <v>127</v>
      </c>
      <c r="I27" s="71"/>
      <c r="J27" s="105" t="s">
        <v>78</v>
      </c>
      <c r="K27" s="207" t="s">
        <v>134</v>
      </c>
      <c r="L27" s="165"/>
      <c r="M27" s="74"/>
      <c r="N27" s="116"/>
      <c r="O27" s="122"/>
      <c r="P27" s="122"/>
      <c r="Q27" s="122"/>
      <c r="R27" s="161"/>
      <c r="S27" s="119"/>
    </row>
    <row r="28" spans="1:20" s="5" customFormat="1" ht="21.6" thickBot="1">
      <c r="A28" s="10"/>
      <c r="C28" s="69"/>
      <c r="D28" s="112" t="s">
        <v>85</v>
      </c>
      <c r="E28" s="200" t="s">
        <v>123</v>
      </c>
      <c r="F28" s="45"/>
      <c r="G28" s="67" t="s">
        <v>19</v>
      </c>
      <c r="H28" s="210" t="s">
        <v>128</v>
      </c>
      <c r="I28" s="71" t="s">
        <v>56</v>
      </c>
      <c r="J28" s="105" t="s">
        <v>80</v>
      </c>
      <c r="K28" s="207" t="s">
        <v>135</v>
      </c>
      <c r="L28" s="166"/>
      <c r="M28" s="74"/>
      <c r="N28" s="294"/>
      <c r="O28" s="294"/>
      <c r="P28" s="294"/>
      <c r="Q28" s="194"/>
      <c r="R28" s="163"/>
      <c r="S28" s="119"/>
    </row>
    <row r="29" spans="1:20" s="5" customFormat="1" ht="21">
      <c r="A29" s="10"/>
      <c r="C29" s="69"/>
      <c r="F29" s="45"/>
      <c r="I29" s="167"/>
      <c r="J29" s="106" t="s">
        <v>149</v>
      </c>
      <c r="K29" s="207" t="s">
        <v>150</v>
      </c>
      <c r="L29" s="72"/>
      <c r="M29" s="74"/>
      <c r="N29" s="116"/>
      <c r="O29" s="117"/>
      <c r="P29" s="117"/>
      <c r="Q29" s="117"/>
      <c r="R29" s="163"/>
      <c r="S29" s="119"/>
    </row>
    <row r="30" spans="1:20" s="5" customFormat="1" ht="21.6" thickBot="1">
      <c r="A30" s="10"/>
      <c r="C30" s="69"/>
      <c r="F30" s="45"/>
      <c r="I30" s="72" t="s">
        <v>57</v>
      </c>
      <c r="J30" s="105" t="s">
        <v>20</v>
      </c>
      <c r="K30" s="207" t="s">
        <v>136</v>
      </c>
      <c r="L30" s="168"/>
      <c r="M30" s="74"/>
      <c r="N30" s="116"/>
      <c r="O30" s="117"/>
      <c r="P30" s="117"/>
      <c r="Q30" s="117"/>
      <c r="R30" s="162"/>
      <c r="S30" s="115"/>
    </row>
    <row r="31" spans="1:20" s="5" customFormat="1" ht="21">
      <c r="A31" s="10"/>
      <c r="C31" s="69"/>
      <c r="D31" s="125" t="s">
        <v>86</v>
      </c>
      <c r="E31" s="152" t="s">
        <v>124</v>
      </c>
      <c r="F31" s="45"/>
      <c r="I31" s="72" t="s">
        <v>58</v>
      </c>
      <c r="J31" s="106" t="s">
        <v>22</v>
      </c>
      <c r="K31" s="207" t="s">
        <v>137</v>
      </c>
      <c r="L31" s="193"/>
      <c r="M31" s="74"/>
      <c r="N31" s="116"/>
      <c r="O31" s="117"/>
      <c r="P31" s="117"/>
      <c r="Q31" s="117"/>
      <c r="R31" s="169"/>
      <c r="S31" s="119"/>
    </row>
    <row r="32" spans="1:20" s="5" customFormat="1" ht="21">
      <c r="A32" s="10"/>
      <c r="C32" s="69"/>
      <c r="D32" s="126" t="s">
        <v>87</v>
      </c>
      <c r="E32" s="201" t="s">
        <v>125</v>
      </c>
      <c r="F32" s="45"/>
      <c r="G32" s="109"/>
      <c r="H32" s="132"/>
      <c r="I32" s="72" t="s">
        <v>59</v>
      </c>
      <c r="J32" s="106" t="s">
        <v>9</v>
      </c>
      <c r="K32" s="207" t="s">
        <v>148</v>
      </c>
      <c r="L32" s="72"/>
      <c r="M32" s="74"/>
      <c r="N32" s="116"/>
      <c r="O32" s="117"/>
      <c r="P32" s="117"/>
      <c r="Q32" s="117"/>
      <c r="R32" s="170"/>
      <c r="S32" s="119"/>
    </row>
    <row r="33" spans="1:20" s="5" customFormat="1" ht="21.6" thickBot="1">
      <c r="A33" s="10"/>
      <c r="C33" s="69"/>
      <c r="D33" s="127" t="s">
        <v>24</v>
      </c>
      <c r="E33" s="202" t="s">
        <v>126</v>
      </c>
      <c r="F33" s="45"/>
      <c r="G33" s="68"/>
      <c r="H33" s="68"/>
      <c r="I33" s="73"/>
      <c r="J33" s="106" t="s">
        <v>10</v>
      </c>
      <c r="K33" s="295" t="e">
        <f>(K32/100)*(O20+K31)</f>
        <v>#VALUE!</v>
      </c>
      <c r="L33" s="73"/>
      <c r="M33" s="74"/>
      <c r="N33" s="116"/>
      <c r="O33" s="117"/>
      <c r="P33" s="117"/>
      <c r="Q33" s="117"/>
      <c r="R33" s="170"/>
      <c r="S33" s="119"/>
    </row>
    <row r="34" spans="1:20" s="5" customFormat="1" ht="21.6" thickBot="1">
      <c r="A34" s="10"/>
      <c r="C34" s="69"/>
      <c r="F34" s="68"/>
      <c r="G34" s="68"/>
      <c r="H34" s="68"/>
      <c r="I34" s="73"/>
      <c r="J34" s="183" t="s">
        <v>81</v>
      </c>
      <c r="K34" s="208" t="s">
        <v>138</v>
      </c>
      <c r="L34" s="73"/>
      <c r="M34" s="74"/>
      <c r="N34" s="292"/>
      <c r="O34" s="292"/>
      <c r="P34" s="292"/>
      <c r="Q34" s="115"/>
      <c r="R34" s="170"/>
      <c r="S34" s="119"/>
    </row>
    <row r="35" spans="1:20" s="5" customFormat="1" ht="21">
      <c r="A35" s="10"/>
      <c r="C35" s="69"/>
      <c r="D35" s="74"/>
      <c r="E35" s="74"/>
      <c r="F35" s="68"/>
      <c r="G35" s="68"/>
      <c r="H35" s="68"/>
      <c r="I35" s="68"/>
      <c r="J35" s="116"/>
      <c r="K35" s="116"/>
      <c r="L35" s="168"/>
      <c r="M35" s="74"/>
      <c r="N35" s="116"/>
      <c r="O35" s="117"/>
      <c r="P35" s="117"/>
      <c r="Q35" s="117"/>
      <c r="R35" s="170"/>
      <c r="S35" s="119"/>
    </row>
    <row r="36" spans="1:20" s="5" customFormat="1" ht="21">
      <c r="A36" s="10"/>
      <c r="C36" s="69"/>
      <c r="D36" s="75"/>
      <c r="E36" s="138"/>
      <c r="F36" s="68"/>
      <c r="G36" s="68"/>
      <c r="H36" s="68"/>
      <c r="I36" s="68"/>
      <c r="J36" s="116"/>
      <c r="K36" s="116"/>
      <c r="L36" s="168"/>
      <c r="M36" s="74"/>
      <c r="N36" s="116"/>
      <c r="O36" s="117"/>
      <c r="P36" s="117"/>
      <c r="Q36" s="117"/>
      <c r="R36" s="170"/>
      <c r="S36" s="119"/>
    </row>
    <row r="37" spans="1:20" s="5" customFormat="1" ht="21">
      <c r="A37" s="10"/>
      <c r="C37" s="69"/>
      <c r="D37" s="76"/>
      <c r="E37" s="78"/>
      <c r="F37" s="68"/>
      <c r="G37" s="68"/>
      <c r="H37" s="68"/>
      <c r="I37" s="68"/>
      <c r="J37" s="116"/>
      <c r="K37" s="116"/>
      <c r="L37" s="68"/>
      <c r="M37" s="74"/>
      <c r="N37" s="116"/>
      <c r="O37" s="117"/>
      <c r="P37" s="117"/>
      <c r="Q37" s="117"/>
      <c r="R37" s="170"/>
      <c r="S37" s="119"/>
    </row>
    <row r="38" spans="1:20" s="5" customFormat="1" ht="21">
      <c r="A38" s="10"/>
      <c r="C38" s="69"/>
      <c r="D38" s="68"/>
      <c r="E38" s="78"/>
      <c r="F38" s="68"/>
      <c r="G38" s="68"/>
      <c r="H38" s="68"/>
      <c r="I38" s="137"/>
      <c r="J38" s="116"/>
      <c r="K38" s="116"/>
      <c r="L38" s="137"/>
      <c r="M38" s="74"/>
      <c r="N38" s="292"/>
      <c r="O38" s="292"/>
      <c r="P38" s="292"/>
      <c r="Q38" s="115"/>
      <c r="R38" s="172"/>
      <c r="S38" s="119"/>
    </row>
    <row r="39" spans="1:20" s="5" customFormat="1" ht="21">
      <c r="A39" s="10"/>
      <c r="C39" s="77"/>
      <c r="D39" s="68"/>
      <c r="E39" s="78"/>
      <c r="F39" s="68"/>
      <c r="G39" s="171"/>
      <c r="H39" s="173"/>
      <c r="I39" s="68"/>
      <c r="J39" s="116"/>
      <c r="K39" s="116"/>
      <c r="L39" s="68"/>
      <c r="M39" s="74"/>
      <c r="N39" s="116"/>
      <c r="O39" s="117"/>
      <c r="P39" s="117"/>
      <c r="Q39" s="117"/>
      <c r="R39" s="174"/>
      <c r="S39" s="95"/>
    </row>
    <row r="40" spans="1:20" s="17" customFormat="1" ht="23.4">
      <c r="A40" s="16"/>
      <c r="C40" s="69"/>
      <c r="D40" s="79"/>
      <c r="E40" s="78"/>
      <c r="F40" s="79"/>
      <c r="G40" s="171"/>
      <c r="H40" s="173"/>
      <c r="I40" s="79"/>
      <c r="J40" s="116"/>
      <c r="K40" s="116"/>
      <c r="L40" s="79"/>
      <c r="M40" s="123"/>
      <c r="N40" s="116"/>
      <c r="O40" s="117"/>
      <c r="P40" s="117"/>
      <c r="Q40" s="117"/>
      <c r="R40" s="175"/>
      <c r="S40" s="124"/>
    </row>
    <row r="41" spans="1:20" s="17" customFormat="1" ht="23.4">
      <c r="A41" s="16"/>
      <c r="C41" s="80"/>
      <c r="D41" s="68"/>
      <c r="E41" s="78"/>
      <c r="F41" s="79"/>
      <c r="G41" s="171"/>
      <c r="H41" s="173"/>
      <c r="I41" s="79"/>
      <c r="J41" s="79"/>
      <c r="K41" s="79"/>
      <c r="L41" s="79"/>
      <c r="M41" s="123"/>
      <c r="N41" s="116"/>
      <c r="O41" s="117"/>
      <c r="P41" s="117"/>
      <c r="Q41" s="117"/>
      <c r="R41" s="175"/>
      <c r="S41" s="124"/>
    </row>
    <row r="42" spans="1:20" s="5" customFormat="1" ht="23.4">
      <c r="A42" s="10"/>
      <c r="C42" s="69"/>
      <c r="D42" s="68"/>
      <c r="E42" s="78"/>
      <c r="F42" s="68"/>
      <c r="G42" s="68"/>
      <c r="H42" s="68"/>
      <c r="I42" s="137"/>
      <c r="J42" s="137"/>
      <c r="K42" s="137"/>
      <c r="L42" s="137"/>
      <c r="M42" s="74"/>
      <c r="N42" s="116"/>
      <c r="O42" s="122"/>
      <c r="P42" s="122"/>
      <c r="Q42" s="122"/>
      <c r="R42" s="175"/>
      <c r="S42" s="124"/>
    </row>
    <row r="43" spans="1:20" s="7" customFormat="1" ht="15">
      <c r="A43" s="11"/>
      <c r="C43" s="11"/>
      <c r="E43" s="13"/>
      <c r="M43" s="4"/>
      <c r="N43" s="176"/>
      <c r="O43" s="176"/>
      <c r="P43" s="176"/>
      <c r="Q43" s="176"/>
      <c r="R43" s="14"/>
    </row>
    <row r="44" spans="1:20" s="140" customFormat="1" ht="22.8">
      <c r="A44" s="139"/>
      <c r="C44" s="139"/>
      <c r="F44" s="7"/>
      <c r="J44" s="4"/>
      <c r="K44" s="4"/>
      <c r="L44" s="4"/>
      <c r="M44" s="4"/>
      <c r="N44" s="177"/>
      <c r="O44" s="178"/>
      <c r="P44" s="178"/>
      <c r="Q44" s="178"/>
      <c r="R44" s="141"/>
    </row>
    <row r="45" spans="1:20" s="140" customFormat="1" ht="13.8" thickBot="1">
      <c r="A45" s="139"/>
      <c r="B45" s="141"/>
      <c r="C45" s="142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4"/>
    </row>
    <row r="46" spans="1:20" s="140" customFormat="1" ht="13.8" thickBot="1"/>
    <row r="47" spans="1:20" s="3" customFormat="1" ht="37.200000000000003" thickBot="1">
      <c r="C47" s="281" t="s">
        <v>34</v>
      </c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3"/>
      <c r="S47" s="24"/>
    </row>
    <row r="48" spans="1:20" ht="12" customHeight="1">
      <c r="C48" s="284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79"/>
      <c r="S48" s="23"/>
      <c r="T48" s="32"/>
    </row>
    <row r="49" spans="3:19" s="8" customFormat="1" ht="57.9" customHeight="1" thickBot="1">
      <c r="C49" s="286" t="s">
        <v>60</v>
      </c>
      <c r="D49" s="286" t="s">
        <v>61</v>
      </c>
      <c r="E49" s="286" t="s">
        <v>62</v>
      </c>
      <c r="F49" s="286" t="s">
        <v>35</v>
      </c>
      <c r="G49" s="286" t="s">
        <v>36</v>
      </c>
      <c r="H49" s="286" t="s">
        <v>37</v>
      </c>
      <c r="I49" s="286" t="s">
        <v>38</v>
      </c>
      <c r="J49" s="286" t="s">
        <v>39</v>
      </c>
      <c r="K49" s="286" t="s">
        <v>40</v>
      </c>
      <c r="L49" s="286" t="s">
        <v>41</v>
      </c>
      <c r="M49" s="286" t="s">
        <v>63</v>
      </c>
      <c r="N49" s="286" t="s">
        <v>64</v>
      </c>
      <c r="O49" s="286" t="s">
        <v>65</v>
      </c>
      <c r="P49" s="287" t="s">
        <v>42</v>
      </c>
      <c r="Q49" s="287" t="s">
        <v>143</v>
      </c>
      <c r="R49" s="288"/>
      <c r="S49" s="26"/>
    </row>
    <row r="50" spans="3:19" s="19" customFormat="1" ht="144.6" thickBot="1">
      <c r="C50" s="240"/>
      <c r="D50" s="241" t="s">
        <v>109</v>
      </c>
      <c r="E50" s="242" t="s">
        <v>110</v>
      </c>
      <c r="F50" s="243" t="s">
        <v>111</v>
      </c>
      <c r="G50" s="241" t="s">
        <v>112</v>
      </c>
      <c r="H50" s="244" t="s">
        <v>113</v>
      </c>
      <c r="I50" s="244" t="s">
        <v>114</v>
      </c>
      <c r="J50" s="245" t="s">
        <v>115</v>
      </c>
      <c r="K50" s="246" t="s">
        <v>116</v>
      </c>
      <c r="L50" s="247" t="s">
        <v>117</v>
      </c>
      <c r="M50" s="248" t="s">
        <v>118</v>
      </c>
      <c r="N50" s="247" t="s">
        <v>119</v>
      </c>
      <c r="O50" s="226" t="e">
        <f>M50*(1+N50)</f>
        <v>#VALUE!</v>
      </c>
      <c r="P50" s="249" t="e">
        <f>IF(OR(K50&lt;&gt;0, K50&lt;&gt;""), (K50+L50)*O50, O50*(J50+L50))</f>
        <v>#VALUE!</v>
      </c>
      <c r="Q50" s="228" t="s">
        <v>144</v>
      </c>
      <c r="R50" s="250"/>
      <c r="S50" s="27"/>
    </row>
    <row r="51" spans="3:19" s="19" customFormat="1" ht="18.600000000000001" thickBot="1">
      <c r="C51" s="240"/>
      <c r="D51" s="241"/>
      <c r="E51" s="251"/>
      <c r="F51" s="243"/>
      <c r="G51" s="241"/>
      <c r="H51" s="244"/>
      <c r="I51" s="244"/>
      <c r="J51" s="245"/>
      <c r="K51" s="246"/>
      <c r="L51" s="247"/>
      <c r="M51" s="252"/>
      <c r="N51" s="247"/>
      <c r="O51" s="226">
        <f t="shared" ref="O51:O114" si="0">M51*(1+N51)</f>
        <v>0</v>
      </c>
      <c r="P51" s="249">
        <f t="shared" ref="P51:P114" si="1">IF(OR(K51&lt;&gt;0, K51&lt;&gt;""), (K51+L51)*O51, O51*(J51+L51))</f>
        <v>0</v>
      </c>
      <c r="Q51" s="228"/>
      <c r="R51" s="250"/>
      <c r="S51" s="27"/>
    </row>
    <row r="52" spans="3:19" s="19" customFormat="1" ht="18.600000000000001" thickBot="1">
      <c r="C52" s="240"/>
      <c r="D52" s="241"/>
      <c r="E52" s="242"/>
      <c r="F52" s="243"/>
      <c r="G52" s="251"/>
      <c r="H52" s="253"/>
      <c r="I52" s="253"/>
      <c r="J52" s="254"/>
      <c r="K52" s="246"/>
      <c r="L52" s="247"/>
      <c r="M52" s="252"/>
      <c r="N52" s="247"/>
      <c r="O52" s="226">
        <f t="shared" si="0"/>
        <v>0</v>
      </c>
      <c r="P52" s="249">
        <f t="shared" si="1"/>
        <v>0</v>
      </c>
      <c r="Q52" s="228"/>
      <c r="R52" s="250"/>
      <c r="S52" s="27"/>
    </row>
    <row r="53" spans="3:19" s="19" customFormat="1" ht="18.600000000000001" thickBot="1">
      <c r="C53" s="240"/>
      <c r="D53" s="242"/>
      <c r="E53" s="242"/>
      <c r="F53" s="242"/>
      <c r="G53" s="242"/>
      <c r="H53" s="242"/>
      <c r="I53" s="242"/>
      <c r="J53" s="255"/>
      <c r="K53" s="246"/>
      <c r="L53" s="247"/>
      <c r="M53" s="252"/>
      <c r="N53" s="247"/>
      <c r="O53" s="226">
        <f t="shared" si="0"/>
        <v>0</v>
      </c>
      <c r="P53" s="249">
        <f t="shared" si="1"/>
        <v>0</v>
      </c>
      <c r="Q53" s="228"/>
      <c r="R53" s="250"/>
      <c r="S53" s="27"/>
    </row>
    <row r="54" spans="3:19" s="19" customFormat="1" ht="18.600000000000001" thickBot="1">
      <c r="C54" s="256"/>
      <c r="D54" s="257"/>
      <c r="E54" s="257"/>
      <c r="F54" s="257"/>
      <c r="G54" s="257"/>
      <c r="H54" s="257"/>
      <c r="I54" s="257"/>
      <c r="J54" s="258"/>
      <c r="K54" s="246"/>
      <c r="L54" s="247"/>
      <c r="M54" s="252"/>
      <c r="N54" s="247"/>
      <c r="O54" s="226">
        <f t="shared" si="0"/>
        <v>0</v>
      </c>
      <c r="P54" s="249">
        <f t="shared" si="1"/>
        <v>0</v>
      </c>
      <c r="Q54" s="228"/>
      <c r="R54" s="250"/>
      <c r="S54" s="27"/>
    </row>
    <row r="55" spans="3:19" s="19" customFormat="1" ht="18.600000000000001" thickBot="1">
      <c r="C55" s="256"/>
      <c r="D55" s="251"/>
      <c r="E55" s="242"/>
      <c r="F55" s="243"/>
      <c r="G55" s="251"/>
      <c r="H55" s="253"/>
      <c r="I55" s="253"/>
      <c r="J55" s="254"/>
      <c r="K55" s="246"/>
      <c r="L55" s="247"/>
      <c r="M55" s="252"/>
      <c r="N55" s="247"/>
      <c r="O55" s="226">
        <f t="shared" si="0"/>
        <v>0</v>
      </c>
      <c r="P55" s="249">
        <f t="shared" si="1"/>
        <v>0</v>
      </c>
      <c r="Q55" s="228"/>
      <c r="R55" s="250"/>
      <c r="S55" s="27"/>
    </row>
    <row r="56" spans="3:19" s="19" customFormat="1" ht="18.600000000000001" thickBot="1">
      <c r="C56" s="259"/>
      <c r="D56" s="260"/>
      <c r="E56" s="261"/>
      <c r="F56" s="262"/>
      <c r="G56" s="260"/>
      <c r="H56" s="263"/>
      <c r="I56" s="263"/>
      <c r="J56" s="264"/>
      <c r="K56" s="265"/>
      <c r="L56" s="266"/>
      <c r="M56" s="267"/>
      <c r="N56" s="266"/>
      <c r="O56" s="226">
        <f t="shared" si="0"/>
        <v>0</v>
      </c>
      <c r="P56" s="249">
        <f t="shared" si="1"/>
        <v>0</v>
      </c>
      <c r="Q56" s="228"/>
      <c r="R56" s="250"/>
      <c r="S56" s="27"/>
    </row>
    <row r="57" spans="3:19" s="19" customFormat="1" ht="18.600000000000001" thickBot="1">
      <c r="C57" s="259"/>
      <c r="D57" s="260"/>
      <c r="E57" s="261"/>
      <c r="F57" s="262"/>
      <c r="G57" s="260"/>
      <c r="H57" s="263"/>
      <c r="I57" s="263"/>
      <c r="J57" s="264"/>
      <c r="K57" s="265"/>
      <c r="L57" s="266"/>
      <c r="M57" s="267"/>
      <c r="N57" s="266"/>
      <c r="O57" s="226">
        <f t="shared" si="0"/>
        <v>0</v>
      </c>
      <c r="P57" s="249">
        <f t="shared" si="1"/>
        <v>0</v>
      </c>
      <c r="Q57" s="228"/>
      <c r="R57" s="250"/>
      <c r="S57" s="27"/>
    </row>
    <row r="58" spans="3:19" s="19" customFormat="1" ht="18.600000000000001" thickBot="1">
      <c r="C58" s="259"/>
      <c r="D58" s="260"/>
      <c r="E58" s="261"/>
      <c r="F58" s="262"/>
      <c r="G58" s="260"/>
      <c r="H58" s="263"/>
      <c r="I58" s="263"/>
      <c r="J58" s="264"/>
      <c r="K58" s="265"/>
      <c r="L58" s="266"/>
      <c r="M58" s="267"/>
      <c r="N58" s="266"/>
      <c r="O58" s="226">
        <f t="shared" si="0"/>
        <v>0</v>
      </c>
      <c r="P58" s="249">
        <f t="shared" si="1"/>
        <v>0</v>
      </c>
      <c r="Q58" s="228"/>
      <c r="R58" s="250"/>
      <c r="S58" s="27"/>
    </row>
    <row r="59" spans="3:19" s="19" customFormat="1" ht="18.600000000000001" thickBot="1">
      <c r="C59" s="259"/>
      <c r="D59" s="260"/>
      <c r="E59" s="261"/>
      <c r="F59" s="262"/>
      <c r="G59" s="260"/>
      <c r="H59" s="263"/>
      <c r="I59" s="263"/>
      <c r="J59" s="264"/>
      <c r="K59" s="265"/>
      <c r="L59" s="266"/>
      <c r="M59" s="267"/>
      <c r="N59" s="266"/>
      <c r="O59" s="226">
        <f t="shared" si="0"/>
        <v>0</v>
      </c>
      <c r="P59" s="249">
        <f t="shared" si="1"/>
        <v>0</v>
      </c>
      <c r="Q59" s="228"/>
      <c r="R59" s="250"/>
      <c r="S59" s="27"/>
    </row>
    <row r="60" spans="3:19" s="19" customFormat="1" ht="18.600000000000001" thickBot="1">
      <c r="C60" s="259"/>
      <c r="D60" s="260"/>
      <c r="E60" s="261"/>
      <c r="F60" s="262"/>
      <c r="G60" s="260"/>
      <c r="H60" s="263"/>
      <c r="I60" s="263"/>
      <c r="J60" s="264"/>
      <c r="K60" s="265"/>
      <c r="L60" s="266"/>
      <c r="M60" s="267"/>
      <c r="N60" s="266"/>
      <c r="O60" s="226">
        <f t="shared" si="0"/>
        <v>0</v>
      </c>
      <c r="P60" s="249">
        <f t="shared" si="1"/>
        <v>0</v>
      </c>
      <c r="Q60" s="228"/>
      <c r="R60" s="250"/>
      <c r="S60" s="27"/>
    </row>
    <row r="61" spans="3:19" s="19" customFormat="1" ht="18.600000000000001" thickBot="1">
      <c r="C61" s="259"/>
      <c r="D61" s="260"/>
      <c r="E61" s="261"/>
      <c r="F61" s="262"/>
      <c r="G61" s="260"/>
      <c r="H61" s="263"/>
      <c r="I61" s="263"/>
      <c r="J61" s="264"/>
      <c r="K61" s="265"/>
      <c r="L61" s="266"/>
      <c r="M61" s="267"/>
      <c r="N61" s="266"/>
      <c r="O61" s="226">
        <f t="shared" si="0"/>
        <v>0</v>
      </c>
      <c r="P61" s="249">
        <f t="shared" si="1"/>
        <v>0</v>
      </c>
      <c r="Q61" s="228"/>
      <c r="R61" s="250"/>
      <c r="S61" s="27"/>
    </row>
    <row r="62" spans="3:19" s="19" customFormat="1" ht="18.600000000000001" thickBot="1">
      <c r="C62" s="259"/>
      <c r="D62" s="260"/>
      <c r="E62" s="261"/>
      <c r="F62" s="262"/>
      <c r="G62" s="260"/>
      <c r="H62" s="263"/>
      <c r="I62" s="263"/>
      <c r="J62" s="264"/>
      <c r="K62" s="265"/>
      <c r="L62" s="266"/>
      <c r="M62" s="267"/>
      <c r="N62" s="266"/>
      <c r="O62" s="226">
        <f t="shared" si="0"/>
        <v>0</v>
      </c>
      <c r="P62" s="249">
        <f t="shared" si="1"/>
        <v>0</v>
      </c>
      <c r="Q62" s="228"/>
      <c r="R62" s="250"/>
      <c r="S62" s="27"/>
    </row>
    <row r="63" spans="3:19" s="19" customFormat="1" ht="18.600000000000001" thickBot="1">
      <c r="C63" s="259"/>
      <c r="D63" s="260"/>
      <c r="E63" s="261"/>
      <c r="F63" s="262"/>
      <c r="G63" s="260"/>
      <c r="H63" s="263"/>
      <c r="I63" s="263"/>
      <c r="J63" s="264"/>
      <c r="K63" s="265"/>
      <c r="L63" s="266"/>
      <c r="M63" s="267"/>
      <c r="N63" s="266"/>
      <c r="O63" s="226">
        <f t="shared" si="0"/>
        <v>0</v>
      </c>
      <c r="P63" s="249">
        <f t="shared" si="1"/>
        <v>0</v>
      </c>
      <c r="Q63" s="228"/>
      <c r="R63" s="250"/>
      <c r="S63" s="27"/>
    </row>
    <row r="64" spans="3:19" s="19" customFormat="1" ht="18.600000000000001" thickBot="1">
      <c r="C64" s="259"/>
      <c r="D64" s="260"/>
      <c r="E64" s="261"/>
      <c r="F64" s="262"/>
      <c r="G64" s="260"/>
      <c r="H64" s="263"/>
      <c r="I64" s="263"/>
      <c r="J64" s="264"/>
      <c r="K64" s="265"/>
      <c r="L64" s="266"/>
      <c r="M64" s="267"/>
      <c r="N64" s="266"/>
      <c r="O64" s="226">
        <f t="shared" si="0"/>
        <v>0</v>
      </c>
      <c r="P64" s="249">
        <f t="shared" si="1"/>
        <v>0</v>
      </c>
      <c r="Q64" s="228"/>
      <c r="R64" s="250"/>
      <c r="S64" s="27"/>
    </row>
    <row r="65" spans="3:19" s="19" customFormat="1" ht="18.600000000000001" thickBot="1">
      <c r="C65" s="259"/>
      <c r="D65" s="260"/>
      <c r="E65" s="261"/>
      <c r="F65" s="262"/>
      <c r="G65" s="260"/>
      <c r="H65" s="263"/>
      <c r="I65" s="263"/>
      <c r="J65" s="264"/>
      <c r="K65" s="265"/>
      <c r="L65" s="266"/>
      <c r="M65" s="267"/>
      <c r="N65" s="266"/>
      <c r="O65" s="226">
        <f t="shared" si="0"/>
        <v>0</v>
      </c>
      <c r="P65" s="249">
        <f t="shared" si="1"/>
        <v>0</v>
      </c>
      <c r="Q65" s="228"/>
      <c r="R65" s="250"/>
      <c r="S65" s="27"/>
    </row>
    <row r="66" spans="3:19" s="19" customFormat="1" ht="18.600000000000001" thickBot="1">
      <c r="C66" s="259"/>
      <c r="D66" s="260"/>
      <c r="E66" s="261"/>
      <c r="F66" s="262"/>
      <c r="G66" s="260"/>
      <c r="H66" s="263"/>
      <c r="I66" s="263"/>
      <c r="J66" s="264"/>
      <c r="K66" s="265"/>
      <c r="L66" s="266"/>
      <c r="M66" s="267"/>
      <c r="N66" s="266"/>
      <c r="O66" s="226">
        <f t="shared" si="0"/>
        <v>0</v>
      </c>
      <c r="P66" s="249">
        <f t="shared" si="1"/>
        <v>0</v>
      </c>
      <c r="Q66" s="228"/>
      <c r="R66" s="250"/>
      <c r="S66" s="27"/>
    </row>
    <row r="67" spans="3:19" s="19" customFormat="1" ht="18.600000000000001" thickBot="1">
      <c r="C67" s="259"/>
      <c r="D67" s="260"/>
      <c r="E67" s="261"/>
      <c r="F67" s="262"/>
      <c r="G67" s="260"/>
      <c r="H67" s="263"/>
      <c r="I67" s="263"/>
      <c r="J67" s="264"/>
      <c r="K67" s="265"/>
      <c r="L67" s="266"/>
      <c r="M67" s="267"/>
      <c r="N67" s="266"/>
      <c r="O67" s="226">
        <f t="shared" si="0"/>
        <v>0</v>
      </c>
      <c r="P67" s="249">
        <f t="shared" si="1"/>
        <v>0</v>
      </c>
      <c r="Q67" s="228"/>
      <c r="R67" s="250"/>
      <c r="S67" s="27"/>
    </row>
    <row r="68" spans="3:19" s="19" customFormat="1" ht="18.600000000000001" thickBot="1">
      <c r="C68" s="259"/>
      <c r="D68" s="260"/>
      <c r="E68" s="261"/>
      <c r="F68" s="262"/>
      <c r="G68" s="260"/>
      <c r="H68" s="263"/>
      <c r="I68" s="263"/>
      <c r="J68" s="264"/>
      <c r="K68" s="265"/>
      <c r="L68" s="266"/>
      <c r="M68" s="267"/>
      <c r="N68" s="266"/>
      <c r="O68" s="226">
        <f t="shared" si="0"/>
        <v>0</v>
      </c>
      <c r="P68" s="249">
        <f t="shared" si="1"/>
        <v>0</v>
      </c>
      <c r="Q68" s="228"/>
      <c r="R68" s="250"/>
      <c r="S68" s="27"/>
    </row>
    <row r="69" spans="3:19" s="19" customFormat="1" ht="18.600000000000001" thickBot="1">
      <c r="C69" s="259"/>
      <c r="D69" s="260"/>
      <c r="E69" s="261"/>
      <c r="F69" s="262"/>
      <c r="G69" s="260"/>
      <c r="H69" s="263"/>
      <c r="I69" s="263"/>
      <c r="J69" s="264"/>
      <c r="K69" s="265"/>
      <c r="L69" s="266"/>
      <c r="M69" s="267"/>
      <c r="N69" s="266"/>
      <c r="O69" s="226">
        <f t="shared" si="0"/>
        <v>0</v>
      </c>
      <c r="P69" s="249">
        <f t="shared" si="1"/>
        <v>0</v>
      </c>
      <c r="Q69" s="228"/>
      <c r="R69" s="250"/>
      <c r="S69" s="27"/>
    </row>
    <row r="70" spans="3:19" s="19" customFormat="1" ht="18.600000000000001" thickBot="1">
      <c r="C70" s="259"/>
      <c r="D70" s="260"/>
      <c r="E70" s="261"/>
      <c r="F70" s="262"/>
      <c r="G70" s="260"/>
      <c r="H70" s="263"/>
      <c r="I70" s="263"/>
      <c r="J70" s="264"/>
      <c r="K70" s="265"/>
      <c r="L70" s="266"/>
      <c r="M70" s="267"/>
      <c r="N70" s="266"/>
      <c r="O70" s="226">
        <f t="shared" si="0"/>
        <v>0</v>
      </c>
      <c r="P70" s="249">
        <f t="shared" si="1"/>
        <v>0</v>
      </c>
      <c r="Q70" s="228"/>
      <c r="R70" s="250"/>
      <c r="S70" s="27"/>
    </row>
    <row r="71" spans="3:19" s="19" customFormat="1" ht="18.600000000000001" thickBot="1">
      <c r="C71" s="259"/>
      <c r="D71" s="260"/>
      <c r="E71" s="261"/>
      <c r="F71" s="262"/>
      <c r="G71" s="260"/>
      <c r="H71" s="263"/>
      <c r="I71" s="263"/>
      <c r="J71" s="264"/>
      <c r="K71" s="265"/>
      <c r="L71" s="266"/>
      <c r="M71" s="267"/>
      <c r="N71" s="266"/>
      <c r="O71" s="226">
        <f t="shared" si="0"/>
        <v>0</v>
      </c>
      <c r="P71" s="249">
        <f t="shared" si="1"/>
        <v>0</v>
      </c>
      <c r="Q71" s="228"/>
      <c r="R71" s="250"/>
      <c r="S71" s="27"/>
    </row>
    <row r="72" spans="3:19" s="19" customFormat="1" ht="18.600000000000001" thickBot="1">
      <c r="C72" s="259"/>
      <c r="D72" s="260"/>
      <c r="E72" s="261"/>
      <c r="F72" s="262"/>
      <c r="G72" s="260"/>
      <c r="H72" s="263"/>
      <c r="I72" s="263"/>
      <c r="J72" s="264"/>
      <c r="K72" s="265"/>
      <c r="L72" s="266"/>
      <c r="M72" s="267"/>
      <c r="N72" s="266"/>
      <c r="O72" s="226">
        <f t="shared" si="0"/>
        <v>0</v>
      </c>
      <c r="P72" s="249">
        <f t="shared" si="1"/>
        <v>0</v>
      </c>
      <c r="Q72" s="228"/>
      <c r="R72" s="250"/>
      <c r="S72" s="27"/>
    </row>
    <row r="73" spans="3:19" s="19" customFormat="1" ht="18.600000000000001" thickBot="1">
      <c r="C73" s="259"/>
      <c r="D73" s="260"/>
      <c r="E73" s="261"/>
      <c r="F73" s="262"/>
      <c r="G73" s="260"/>
      <c r="H73" s="263"/>
      <c r="I73" s="263"/>
      <c r="J73" s="264"/>
      <c r="K73" s="265"/>
      <c r="L73" s="266"/>
      <c r="M73" s="267"/>
      <c r="N73" s="266"/>
      <c r="O73" s="226">
        <f t="shared" si="0"/>
        <v>0</v>
      </c>
      <c r="P73" s="249">
        <f t="shared" si="1"/>
        <v>0</v>
      </c>
      <c r="Q73" s="228"/>
      <c r="R73" s="250"/>
      <c r="S73" s="27"/>
    </row>
    <row r="74" spans="3:19" s="19" customFormat="1" ht="18.600000000000001" thickBot="1">
      <c r="C74" s="259"/>
      <c r="D74" s="260"/>
      <c r="E74" s="261"/>
      <c r="F74" s="262"/>
      <c r="G74" s="260"/>
      <c r="H74" s="263"/>
      <c r="I74" s="263"/>
      <c r="J74" s="264"/>
      <c r="K74" s="265"/>
      <c r="L74" s="266"/>
      <c r="M74" s="267"/>
      <c r="N74" s="266"/>
      <c r="O74" s="226">
        <f t="shared" si="0"/>
        <v>0</v>
      </c>
      <c r="P74" s="249">
        <f t="shared" si="1"/>
        <v>0</v>
      </c>
      <c r="Q74" s="228"/>
      <c r="R74" s="250"/>
      <c r="S74" s="27"/>
    </row>
    <row r="75" spans="3:19" s="19" customFormat="1" ht="18.600000000000001" thickBot="1">
      <c r="C75" s="259"/>
      <c r="D75" s="260"/>
      <c r="E75" s="261"/>
      <c r="F75" s="262"/>
      <c r="G75" s="260"/>
      <c r="H75" s="263"/>
      <c r="I75" s="263"/>
      <c r="J75" s="264"/>
      <c r="K75" s="265"/>
      <c r="L75" s="266"/>
      <c r="M75" s="267"/>
      <c r="N75" s="266"/>
      <c r="O75" s="226">
        <f t="shared" si="0"/>
        <v>0</v>
      </c>
      <c r="P75" s="249">
        <f t="shared" si="1"/>
        <v>0</v>
      </c>
      <c r="Q75" s="228"/>
      <c r="R75" s="250"/>
      <c r="S75" s="27"/>
    </row>
    <row r="76" spans="3:19" s="19" customFormat="1" ht="18.600000000000001" thickBot="1">
      <c r="C76" s="259"/>
      <c r="D76" s="260"/>
      <c r="E76" s="261"/>
      <c r="F76" s="262"/>
      <c r="G76" s="260"/>
      <c r="H76" s="263"/>
      <c r="I76" s="263"/>
      <c r="J76" s="264"/>
      <c r="K76" s="265"/>
      <c r="L76" s="266"/>
      <c r="M76" s="267"/>
      <c r="N76" s="266"/>
      <c r="O76" s="226">
        <f t="shared" si="0"/>
        <v>0</v>
      </c>
      <c r="P76" s="249">
        <f t="shared" si="1"/>
        <v>0</v>
      </c>
      <c r="Q76" s="228"/>
      <c r="R76" s="250"/>
      <c r="S76" s="27"/>
    </row>
    <row r="77" spans="3:19" s="19" customFormat="1" ht="18.600000000000001" thickBot="1">
      <c r="C77" s="259"/>
      <c r="D77" s="260"/>
      <c r="E77" s="261"/>
      <c r="F77" s="262"/>
      <c r="G77" s="260"/>
      <c r="H77" s="263"/>
      <c r="I77" s="263"/>
      <c r="J77" s="264"/>
      <c r="K77" s="265"/>
      <c r="L77" s="266"/>
      <c r="M77" s="267"/>
      <c r="N77" s="266"/>
      <c r="O77" s="226">
        <f t="shared" si="0"/>
        <v>0</v>
      </c>
      <c r="P77" s="249">
        <f t="shared" si="1"/>
        <v>0</v>
      </c>
      <c r="Q77" s="228"/>
      <c r="R77" s="250"/>
      <c r="S77" s="27"/>
    </row>
    <row r="78" spans="3:19" s="19" customFormat="1" ht="18.600000000000001" thickBot="1">
      <c r="C78" s="259"/>
      <c r="D78" s="260"/>
      <c r="E78" s="261"/>
      <c r="F78" s="262"/>
      <c r="G78" s="260"/>
      <c r="H78" s="263"/>
      <c r="I78" s="263"/>
      <c r="J78" s="264"/>
      <c r="K78" s="265"/>
      <c r="L78" s="266"/>
      <c r="M78" s="267"/>
      <c r="N78" s="266"/>
      <c r="O78" s="226">
        <f t="shared" si="0"/>
        <v>0</v>
      </c>
      <c r="P78" s="249">
        <f t="shared" si="1"/>
        <v>0</v>
      </c>
      <c r="Q78" s="228"/>
      <c r="R78" s="250"/>
      <c r="S78" s="27"/>
    </row>
    <row r="79" spans="3:19" s="19" customFormat="1" ht="18.600000000000001" thickBot="1">
      <c r="C79" s="259"/>
      <c r="D79" s="260"/>
      <c r="E79" s="261"/>
      <c r="F79" s="262"/>
      <c r="G79" s="260"/>
      <c r="H79" s="263"/>
      <c r="I79" s="263"/>
      <c r="J79" s="264"/>
      <c r="K79" s="265"/>
      <c r="L79" s="266"/>
      <c r="M79" s="267"/>
      <c r="N79" s="266"/>
      <c r="O79" s="226">
        <f t="shared" si="0"/>
        <v>0</v>
      </c>
      <c r="P79" s="249">
        <f t="shared" si="1"/>
        <v>0</v>
      </c>
      <c r="Q79" s="228"/>
      <c r="R79" s="250"/>
      <c r="S79" s="27"/>
    </row>
    <row r="80" spans="3:19" s="19" customFormat="1" ht="18.600000000000001" thickBot="1">
      <c r="C80" s="259"/>
      <c r="D80" s="260"/>
      <c r="E80" s="261"/>
      <c r="F80" s="262"/>
      <c r="G80" s="260"/>
      <c r="H80" s="263"/>
      <c r="I80" s="263"/>
      <c r="J80" s="264"/>
      <c r="K80" s="265"/>
      <c r="L80" s="266"/>
      <c r="M80" s="267"/>
      <c r="N80" s="266"/>
      <c r="O80" s="226">
        <f t="shared" si="0"/>
        <v>0</v>
      </c>
      <c r="P80" s="249">
        <f t="shared" si="1"/>
        <v>0</v>
      </c>
      <c r="Q80" s="228"/>
      <c r="R80" s="250"/>
      <c r="S80" s="27"/>
    </row>
    <row r="81" spans="3:19" s="19" customFormat="1" ht="18.600000000000001" thickBot="1">
      <c r="C81" s="259"/>
      <c r="D81" s="260"/>
      <c r="E81" s="261"/>
      <c r="F81" s="262"/>
      <c r="G81" s="260"/>
      <c r="H81" s="263"/>
      <c r="I81" s="263"/>
      <c r="J81" s="264"/>
      <c r="K81" s="265"/>
      <c r="L81" s="266"/>
      <c r="M81" s="267"/>
      <c r="N81" s="266"/>
      <c r="O81" s="226">
        <f t="shared" si="0"/>
        <v>0</v>
      </c>
      <c r="P81" s="249">
        <f t="shared" si="1"/>
        <v>0</v>
      </c>
      <c r="Q81" s="228"/>
      <c r="R81" s="250"/>
      <c r="S81" s="27"/>
    </row>
    <row r="82" spans="3:19" s="19" customFormat="1" ht="18.600000000000001" thickBot="1">
      <c r="C82" s="259"/>
      <c r="D82" s="260"/>
      <c r="E82" s="261"/>
      <c r="F82" s="262"/>
      <c r="G82" s="260"/>
      <c r="H82" s="263"/>
      <c r="I82" s="263"/>
      <c r="J82" s="264"/>
      <c r="K82" s="265"/>
      <c r="L82" s="266"/>
      <c r="M82" s="267"/>
      <c r="N82" s="266"/>
      <c r="O82" s="226">
        <f t="shared" si="0"/>
        <v>0</v>
      </c>
      <c r="P82" s="249">
        <f t="shared" si="1"/>
        <v>0</v>
      </c>
      <c r="Q82" s="228"/>
      <c r="R82" s="250"/>
      <c r="S82" s="27"/>
    </row>
    <row r="83" spans="3:19" s="19" customFormat="1" ht="18.600000000000001" thickBot="1">
      <c r="C83" s="259"/>
      <c r="D83" s="260"/>
      <c r="E83" s="261"/>
      <c r="F83" s="262"/>
      <c r="G83" s="260"/>
      <c r="H83" s="263"/>
      <c r="I83" s="263"/>
      <c r="J83" s="264"/>
      <c r="K83" s="265"/>
      <c r="L83" s="266"/>
      <c r="M83" s="267"/>
      <c r="N83" s="266"/>
      <c r="O83" s="226">
        <f t="shared" si="0"/>
        <v>0</v>
      </c>
      <c r="P83" s="249">
        <f t="shared" si="1"/>
        <v>0</v>
      </c>
      <c r="Q83" s="228"/>
      <c r="R83" s="250"/>
      <c r="S83" s="27"/>
    </row>
    <row r="84" spans="3:19" s="19" customFormat="1" ht="18.600000000000001" thickBot="1">
      <c r="C84" s="259"/>
      <c r="D84" s="260"/>
      <c r="E84" s="261"/>
      <c r="F84" s="262"/>
      <c r="G84" s="260"/>
      <c r="H84" s="263"/>
      <c r="I84" s="263"/>
      <c r="J84" s="264"/>
      <c r="K84" s="265"/>
      <c r="L84" s="266"/>
      <c r="M84" s="267"/>
      <c r="N84" s="266"/>
      <c r="O84" s="226">
        <f t="shared" si="0"/>
        <v>0</v>
      </c>
      <c r="P84" s="249">
        <f t="shared" si="1"/>
        <v>0</v>
      </c>
      <c r="Q84" s="228"/>
      <c r="R84" s="250"/>
      <c r="S84" s="27"/>
    </row>
    <row r="85" spans="3:19" s="19" customFormat="1" ht="18.600000000000001" thickBot="1">
      <c r="C85" s="259"/>
      <c r="D85" s="260"/>
      <c r="E85" s="261"/>
      <c r="F85" s="262"/>
      <c r="G85" s="260"/>
      <c r="H85" s="263"/>
      <c r="I85" s="263"/>
      <c r="J85" s="264"/>
      <c r="K85" s="265"/>
      <c r="L85" s="266"/>
      <c r="M85" s="267"/>
      <c r="N85" s="266"/>
      <c r="O85" s="226">
        <f t="shared" si="0"/>
        <v>0</v>
      </c>
      <c r="P85" s="249">
        <f t="shared" si="1"/>
        <v>0</v>
      </c>
      <c r="Q85" s="228"/>
      <c r="R85" s="250"/>
      <c r="S85" s="27"/>
    </row>
    <row r="86" spans="3:19" s="19" customFormat="1" ht="18.600000000000001" thickBot="1">
      <c r="C86" s="259"/>
      <c r="D86" s="260"/>
      <c r="E86" s="261"/>
      <c r="F86" s="262"/>
      <c r="G86" s="260"/>
      <c r="H86" s="263"/>
      <c r="I86" s="263"/>
      <c r="J86" s="264"/>
      <c r="K86" s="265"/>
      <c r="L86" s="266"/>
      <c r="M86" s="267"/>
      <c r="N86" s="266"/>
      <c r="O86" s="226">
        <f t="shared" si="0"/>
        <v>0</v>
      </c>
      <c r="P86" s="249">
        <f t="shared" si="1"/>
        <v>0</v>
      </c>
      <c r="Q86" s="228"/>
      <c r="R86" s="250"/>
      <c r="S86" s="27"/>
    </row>
    <row r="87" spans="3:19" s="19" customFormat="1" ht="18.600000000000001" thickBot="1">
      <c r="C87" s="259"/>
      <c r="D87" s="260"/>
      <c r="E87" s="261"/>
      <c r="F87" s="262"/>
      <c r="G87" s="260"/>
      <c r="H87" s="263"/>
      <c r="I87" s="263"/>
      <c r="J87" s="264"/>
      <c r="K87" s="265"/>
      <c r="L87" s="266"/>
      <c r="M87" s="267"/>
      <c r="N87" s="266"/>
      <c r="O87" s="226">
        <f t="shared" si="0"/>
        <v>0</v>
      </c>
      <c r="P87" s="249">
        <f t="shared" si="1"/>
        <v>0</v>
      </c>
      <c r="Q87" s="228"/>
      <c r="R87" s="250"/>
      <c r="S87" s="27"/>
    </row>
    <row r="88" spans="3:19" s="19" customFormat="1" ht="18.600000000000001" thickBot="1">
      <c r="C88" s="259"/>
      <c r="D88" s="260"/>
      <c r="E88" s="261"/>
      <c r="F88" s="262"/>
      <c r="G88" s="260"/>
      <c r="H88" s="263"/>
      <c r="I88" s="263"/>
      <c r="J88" s="264"/>
      <c r="K88" s="265"/>
      <c r="L88" s="266"/>
      <c r="M88" s="267"/>
      <c r="N88" s="266"/>
      <c r="O88" s="226">
        <f t="shared" si="0"/>
        <v>0</v>
      </c>
      <c r="P88" s="249">
        <f t="shared" si="1"/>
        <v>0</v>
      </c>
      <c r="Q88" s="228"/>
      <c r="R88" s="250"/>
      <c r="S88" s="27"/>
    </row>
    <row r="89" spans="3:19" s="19" customFormat="1" ht="18.600000000000001" thickBot="1">
      <c r="C89" s="259"/>
      <c r="D89" s="260"/>
      <c r="E89" s="261"/>
      <c r="F89" s="262"/>
      <c r="G89" s="260"/>
      <c r="H89" s="263"/>
      <c r="I89" s="263"/>
      <c r="J89" s="264"/>
      <c r="K89" s="265"/>
      <c r="L89" s="266"/>
      <c r="M89" s="267"/>
      <c r="N89" s="266"/>
      <c r="O89" s="226">
        <f t="shared" si="0"/>
        <v>0</v>
      </c>
      <c r="P89" s="249">
        <f t="shared" si="1"/>
        <v>0</v>
      </c>
      <c r="Q89" s="228"/>
      <c r="R89" s="250"/>
      <c r="S89" s="27"/>
    </row>
    <row r="90" spans="3:19" s="19" customFormat="1" ht="18.600000000000001" thickBot="1">
      <c r="C90" s="259"/>
      <c r="D90" s="260"/>
      <c r="E90" s="261"/>
      <c r="F90" s="262"/>
      <c r="G90" s="260"/>
      <c r="H90" s="263"/>
      <c r="I90" s="263"/>
      <c r="J90" s="264"/>
      <c r="K90" s="265"/>
      <c r="L90" s="266"/>
      <c r="M90" s="267"/>
      <c r="N90" s="266"/>
      <c r="O90" s="226">
        <f t="shared" si="0"/>
        <v>0</v>
      </c>
      <c r="P90" s="249">
        <f t="shared" si="1"/>
        <v>0</v>
      </c>
      <c r="Q90" s="228"/>
      <c r="R90" s="250"/>
      <c r="S90" s="27"/>
    </row>
    <row r="91" spans="3:19" s="19" customFormat="1" ht="18.600000000000001" thickBot="1">
      <c r="C91" s="259"/>
      <c r="D91" s="260"/>
      <c r="E91" s="261"/>
      <c r="F91" s="262"/>
      <c r="G91" s="260"/>
      <c r="H91" s="263"/>
      <c r="I91" s="263"/>
      <c r="J91" s="264"/>
      <c r="K91" s="265"/>
      <c r="L91" s="266"/>
      <c r="M91" s="267"/>
      <c r="N91" s="266"/>
      <c r="O91" s="226">
        <f t="shared" si="0"/>
        <v>0</v>
      </c>
      <c r="P91" s="249">
        <f t="shared" si="1"/>
        <v>0</v>
      </c>
      <c r="Q91" s="228"/>
      <c r="R91" s="250"/>
      <c r="S91" s="27"/>
    </row>
    <row r="92" spans="3:19" s="19" customFormat="1" ht="18.600000000000001" thickBot="1">
      <c r="C92" s="259"/>
      <c r="D92" s="260"/>
      <c r="E92" s="261"/>
      <c r="F92" s="262"/>
      <c r="G92" s="260"/>
      <c r="H92" s="263"/>
      <c r="I92" s="263"/>
      <c r="J92" s="264"/>
      <c r="K92" s="265"/>
      <c r="L92" s="266"/>
      <c r="M92" s="267"/>
      <c r="N92" s="266"/>
      <c r="O92" s="226">
        <f t="shared" si="0"/>
        <v>0</v>
      </c>
      <c r="P92" s="249">
        <f t="shared" si="1"/>
        <v>0</v>
      </c>
      <c r="Q92" s="228"/>
      <c r="R92" s="250"/>
      <c r="S92" s="27"/>
    </row>
    <row r="93" spans="3:19" s="19" customFormat="1" ht="18.600000000000001" thickBot="1">
      <c r="C93" s="259"/>
      <c r="D93" s="260"/>
      <c r="E93" s="261"/>
      <c r="F93" s="262"/>
      <c r="G93" s="260"/>
      <c r="H93" s="263"/>
      <c r="I93" s="263"/>
      <c r="J93" s="264"/>
      <c r="K93" s="265"/>
      <c r="L93" s="266"/>
      <c r="M93" s="267"/>
      <c r="N93" s="266"/>
      <c r="O93" s="226">
        <f t="shared" si="0"/>
        <v>0</v>
      </c>
      <c r="P93" s="249">
        <f t="shared" si="1"/>
        <v>0</v>
      </c>
      <c r="Q93" s="228"/>
      <c r="R93" s="250"/>
      <c r="S93" s="27"/>
    </row>
    <row r="94" spans="3:19" s="19" customFormat="1" ht="18.600000000000001" thickBot="1">
      <c r="C94" s="259"/>
      <c r="D94" s="260"/>
      <c r="E94" s="261"/>
      <c r="F94" s="262"/>
      <c r="G94" s="260"/>
      <c r="H94" s="263"/>
      <c r="I94" s="263"/>
      <c r="J94" s="264"/>
      <c r="K94" s="265"/>
      <c r="L94" s="266"/>
      <c r="M94" s="267"/>
      <c r="N94" s="266"/>
      <c r="O94" s="226">
        <f t="shared" si="0"/>
        <v>0</v>
      </c>
      <c r="P94" s="249">
        <f t="shared" si="1"/>
        <v>0</v>
      </c>
      <c r="Q94" s="228"/>
      <c r="R94" s="250"/>
      <c r="S94" s="27"/>
    </row>
    <row r="95" spans="3:19" s="19" customFormat="1" ht="18.600000000000001" thickBot="1">
      <c r="C95" s="259"/>
      <c r="D95" s="260"/>
      <c r="E95" s="261"/>
      <c r="F95" s="262"/>
      <c r="G95" s="260"/>
      <c r="H95" s="263"/>
      <c r="I95" s="263"/>
      <c r="J95" s="264"/>
      <c r="K95" s="265"/>
      <c r="L95" s="266"/>
      <c r="M95" s="267"/>
      <c r="N95" s="266"/>
      <c r="O95" s="226">
        <f t="shared" si="0"/>
        <v>0</v>
      </c>
      <c r="P95" s="249">
        <f t="shared" si="1"/>
        <v>0</v>
      </c>
      <c r="Q95" s="228"/>
      <c r="R95" s="250"/>
      <c r="S95" s="27"/>
    </row>
    <row r="96" spans="3:19" s="19" customFormat="1" ht="18.600000000000001" thickBot="1">
      <c r="C96" s="259"/>
      <c r="D96" s="260"/>
      <c r="E96" s="261"/>
      <c r="F96" s="262"/>
      <c r="G96" s="260"/>
      <c r="H96" s="263"/>
      <c r="I96" s="263"/>
      <c r="J96" s="264"/>
      <c r="K96" s="265"/>
      <c r="L96" s="266"/>
      <c r="M96" s="267"/>
      <c r="N96" s="266"/>
      <c r="O96" s="226">
        <f t="shared" si="0"/>
        <v>0</v>
      </c>
      <c r="P96" s="249">
        <f t="shared" si="1"/>
        <v>0</v>
      </c>
      <c r="Q96" s="228"/>
      <c r="R96" s="250"/>
      <c r="S96" s="27"/>
    </row>
    <row r="97" spans="3:19" s="19" customFormat="1" ht="18.600000000000001" thickBot="1">
      <c r="C97" s="259"/>
      <c r="D97" s="260"/>
      <c r="E97" s="261"/>
      <c r="F97" s="262"/>
      <c r="G97" s="260"/>
      <c r="H97" s="263"/>
      <c r="I97" s="263"/>
      <c r="J97" s="264"/>
      <c r="K97" s="265"/>
      <c r="L97" s="266"/>
      <c r="M97" s="267"/>
      <c r="N97" s="266"/>
      <c r="O97" s="226">
        <f t="shared" si="0"/>
        <v>0</v>
      </c>
      <c r="P97" s="249">
        <f t="shared" si="1"/>
        <v>0</v>
      </c>
      <c r="Q97" s="228"/>
      <c r="R97" s="250"/>
      <c r="S97" s="27"/>
    </row>
    <row r="98" spans="3:19" s="19" customFormat="1" ht="18.600000000000001" thickBot="1">
      <c r="C98" s="259"/>
      <c r="D98" s="260"/>
      <c r="E98" s="261"/>
      <c r="F98" s="262"/>
      <c r="G98" s="260"/>
      <c r="H98" s="263"/>
      <c r="I98" s="263"/>
      <c r="J98" s="264"/>
      <c r="K98" s="265"/>
      <c r="L98" s="266"/>
      <c r="M98" s="267"/>
      <c r="N98" s="266"/>
      <c r="O98" s="226">
        <f t="shared" si="0"/>
        <v>0</v>
      </c>
      <c r="P98" s="249">
        <f t="shared" si="1"/>
        <v>0</v>
      </c>
      <c r="Q98" s="228"/>
      <c r="R98" s="250"/>
      <c r="S98" s="27"/>
    </row>
    <row r="99" spans="3:19" s="19" customFormat="1" ht="18.600000000000001" thickBot="1">
      <c r="C99" s="259"/>
      <c r="D99" s="260"/>
      <c r="E99" s="261"/>
      <c r="F99" s="262"/>
      <c r="G99" s="260"/>
      <c r="H99" s="263"/>
      <c r="I99" s="263"/>
      <c r="J99" s="264"/>
      <c r="K99" s="265"/>
      <c r="L99" s="266"/>
      <c r="M99" s="267"/>
      <c r="N99" s="266"/>
      <c r="O99" s="226">
        <f t="shared" si="0"/>
        <v>0</v>
      </c>
      <c r="P99" s="249">
        <f t="shared" si="1"/>
        <v>0</v>
      </c>
      <c r="Q99" s="228"/>
      <c r="R99" s="250"/>
      <c r="S99" s="27"/>
    </row>
    <row r="100" spans="3:19" s="19" customFormat="1" ht="18.600000000000001" thickBot="1">
      <c r="C100" s="259"/>
      <c r="D100" s="260"/>
      <c r="E100" s="261"/>
      <c r="F100" s="262"/>
      <c r="G100" s="260"/>
      <c r="H100" s="263"/>
      <c r="I100" s="263"/>
      <c r="J100" s="264"/>
      <c r="K100" s="265"/>
      <c r="L100" s="266"/>
      <c r="M100" s="267"/>
      <c r="N100" s="266"/>
      <c r="O100" s="226">
        <f t="shared" si="0"/>
        <v>0</v>
      </c>
      <c r="P100" s="249">
        <f t="shared" si="1"/>
        <v>0</v>
      </c>
      <c r="Q100" s="228"/>
      <c r="R100" s="250"/>
      <c r="S100" s="27"/>
    </row>
    <row r="101" spans="3:19" s="19" customFormat="1" ht="18.600000000000001" thickBot="1">
      <c r="C101" s="259"/>
      <c r="D101" s="260"/>
      <c r="E101" s="261"/>
      <c r="F101" s="262"/>
      <c r="G101" s="260"/>
      <c r="H101" s="263"/>
      <c r="I101" s="263"/>
      <c r="J101" s="264"/>
      <c r="K101" s="265"/>
      <c r="L101" s="266"/>
      <c r="M101" s="267"/>
      <c r="N101" s="266"/>
      <c r="O101" s="226">
        <f t="shared" si="0"/>
        <v>0</v>
      </c>
      <c r="P101" s="249">
        <f t="shared" si="1"/>
        <v>0</v>
      </c>
      <c r="Q101" s="228"/>
      <c r="R101" s="250"/>
      <c r="S101" s="27"/>
    </row>
    <row r="102" spans="3:19" s="19" customFormat="1" ht="18.600000000000001" thickBot="1">
      <c r="C102" s="259"/>
      <c r="D102" s="260"/>
      <c r="E102" s="261"/>
      <c r="F102" s="262"/>
      <c r="G102" s="260"/>
      <c r="H102" s="263"/>
      <c r="I102" s="263"/>
      <c r="J102" s="264"/>
      <c r="K102" s="265"/>
      <c r="L102" s="266"/>
      <c r="M102" s="267"/>
      <c r="N102" s="266"/>
      <c r="O102" s="226">
        <f t="shared" si="0"/>
        <v>0</v>
      </c>
      <c r="P102" s="249">
        <f t="shared" si="1"/>
        <v>0</v>
      </c>
      <c r="Q102" s="228"/>
      <c r="R102" s="250"/>
      <c r="S102" s="27"/>
    </row>
    <row r="103" spans="3:19" s="19" customFormat="1" ht="18.600000000000001" thickBot="1">
      <c r="C103" s="259"/>
      <c r="D103" s="260"/>
      <c r="E103" s="261"/>
      <c r="F103" s="262"/>
      <c r="G103" s="260"/>
      <c r="H103" s="263"/>
      <c r="I103" s="263"/>
      <c r="J103" s="264"/>
      <c r="K103" s="265"/>
      <c r="L103" s="266"/>
      <c r="M103" s="267"/>
      <c r="N103" s="266"/>
      <c r="O103" s="226">
        <f t="shared" si="0"/>
        <v>0</v>
      </c>
      <c r="P103" s="249">
        <f t="shared" si="1"/>
        <v>0</v>
      </c>
      <c r="Q103" s="228"/>
      <c r="R103" s="250"/>
      <c r="S103" s="27"/>
    </row>
    <row r="104" spans="3:19" s="19" customFormat="1" ht="18.600000000000001" thickBot="1">
      <c r="C104" s="259"/>
      <c r="D104" s="260"/>
      <c r="E104" s="261"/>
      <c r="F104" s="262"/>
      <c r="G104" s="260"/>
      <c r="H104" s="263"/>
      <c r="I104" s="263"/>
      <c r="J104" s="264"/>
      <c r="K104" s="265"/>
      <c r="L104" s="266"/>
      <c r="M104" s="267"/>
      <c r="N104" s="266"/>
      <c r="O104" s="226">
        <f t="shared" si="0"/>
        <v>0</v>
      </c>
      <c r="P104" s="249">
        <f t="shared" si="1"/>
        <v>0</v>
      </c>
      <c r="Q104" s="228"/>
      <c r="R104" s="250"/>
      <c r="S104" s="27"/>
    </row>
    <row r="105" spans="3:19" s="19" customFormat="1" ht="18.600000000000001" thickBot="1">
      <c r="C105" s="259"/>
      <c r="D105" s="260"/>
      <c r="E105" s="261"/>
      <c r="F105" s="262"/>
      <c r="G105" s="260"/>
      <c r="H105" s="263"/>
      <c r="I105" s="263"/>
      <c r="J105" s="264"/>
      <c r="K105" s="265"/>
      <c r="L105" s="266"/>
      <c r="M105" s="267"/>
      <c r="N105" s="266"/>
      <c r="O105" s="226">
        <f t="shared" si="0"/>
        <v>0</v>
      </c>
      <c r="P105" s="249">
        <f t="shared" si="1"/>
        <v>0</v>
      </c>
      <c r="Q105" s="228"/>
      <c r="R105" s="250"/>
      <c r="S105" s="27"/>
    </row>
    <row r="106" spans="3:19" s="19" customFormat="1" ht="18.600000000000001" thickBot="1">
      <c r="C106" s="259"/>
      <c r="D106" s="260"/>
      <c r="E106" s="261"/>
      <c r="F106" s="262"/>
      <c r="G106" s="260"/>
      <c r="H106" s="263"/>
      <c r="I106" s="263"/>
      <c r="J106" s="264"/>
      <c r="K106" s="265"/>
      <c r="L106" s="266"/>
      <c r="M106" s="267"/>
      <c r="N106" s="266"/>
      <c r="O106" s="226">
        <f t="shared" si="0"/>
        <v>0</v>
      </c>
      <c r="P106" s="249">
        <f t="shared" si="1"/>
        <v>0</v>
      </c>
      <c r="Q106" s="228"/>
      <c r="R106" s="250"/>
      <c r="S106" s="27"/>
    </row>
    <row r="107" spans="3:19" s="19" customFormat="1" ht="18.600000000000001" thickBot="1">
      <c r="C107" s="259"/>
      <c r="D107" s="260"/>
      <c r="E107" s="261"/>
      <c r="F107" s="262"/>
      <c r="G107" s="260"/>
      <c r="H107" s="263"/>
      <c r="I107" s="263"/>
      <c r="J107" s="264"/>
      <c r="K107" s="265"/>
      <c r="L107" s="266"/>
      <c r="M107" s="267"/>
      <c r="N107" s="266"/>
      <c r="O107" s="226">
        <f t="shared" si="0"/>
        <v>0</v>
      </c>
      <c r="P107" s="249">
        <f t="shared" si="1"/>
        <v>0</v>
      </c>
      <c r="Q107" s="228"/>
      <c r="R107" s="250"/>
      <c r="S107" s="27"/>
    </row>
    <row r="108" spans="3:19" s="19" customFormat="1" ht="18.600000000000001" thickBot="1">
      <c r="C108" s="259"/>
      <c r="D108" s="260"/>
      <c r="E108" s="261"/>
      <c r="F108" s="262"/>
      <c r="G108" s="260"/>
      <c r="H108" s="263"/>
      <c r="I108" s="263"/>
      <c r="J108" s="264"/>
      <c r="K108" s="265"/>
      <c r="L108" s="266"/>
      <c r="M108" s="267"/>
      <c r="N108" s="266"/>
      <c r="O108" s="226">
        <f t="shared" si="0"/>
        <v>0</v>
      </c>
      <c r="P108" s="249">
        <f t="shared" si="1"/>
        <v>0</v>
      </c>
      <c r="Q108" s="228"/>
      <c r="R108" s="250"/>
      <c r="S108" s="27"/>
    </row>
    <row r="109" spans="3:19" s="19" customFormat="1" ht="18.600000000000001" thickBot="1">
      <c r="C109" s="259"/>
      <c r="D109" s="260"/>
      <c r="E109" s="261"/>
      <c r="F109" s="262"/>
      <c r="G109" s="260"/>
      <c r="H109" s="263"/>
      <c r="I109" s="263"/>
      <c r="J109" s="264"/>
      <c r="K109" s="265"/>
      <c r="L109" s="266"/>
      <c r="M109" s="267"/>
      <c r="N109" s="266"/>
      <c r="O109" s="226">
        <f t="shared" si="0"/>
        <v>0</v>
      </c>
      <c r="P109" s="249">
        <f t="shared" si="1"/>
        <v>0</v>
      </c>
      <c r="Q109" s="228"/>
      <c r="R109" s="250"/>
      <c r="S109" s="27"/>
    </row>
    <row r="110" spans="3:19" s="19" customFormat="1" ht="18.600000000000001" thickBot="1">
      <c r="C110" s="259"/>
      <c r="D110" s="260"/>
      <c r="E110" s="261"/>
      <c r="F110" s="262"/>
      <c r="G110" s="260"/>
      <c r="H110" s="263"/>
      <c r="I110" s="263"/>
      <c r="J110" s="264"/>
      <c r="K110" s="265"/>
      <c r="L110" s="266"/>
      <c r="M110" s="267"/>
      <c r="N110" s="266"/>
      <c r="O110" s="226">
        <f t="shared" si="0"/>
        <v>0</v>
      </c>
      <c r="P110" s="249">
        <f t="shared" si="1"/>
        <v>0</v>
      </c>
      <c r="Q110" s="228"/>
      <c r="R110" s="250"/>
      <c r="S110" s="27"/>
    </row>
    <row r="111" spans="3:19" s="19" customFormat="1" ht="18.600000000000001" thickBot="1">
      <c r="C111" s="259"/>
      <c r="D111" s="260"/>
      <c r="E111" s="261"/>
      <c r="F111" s="262"/>
      <c r="G111" s="260"/>
      <c r="H111" s="263"/>
      <c r="I111" s="263"/>
      <c r="J111" s="264"/>
      <c r="K111" s="265"/>
      <c r="L111" s="266"/>
      <c r="M111" s="267"/>
      <c r="N111" s="266"/>
      <c r="O111" s="226">
        <f t="shared" si="0"/>
        <v>0</v>
      </c>
      <c r="P111" s="249">
        <f t="shared" si="1"/>
        <v>0</v>
      </c>
      <c r="Q111" s="228"/>
      <c r="R111" s="250"/>
      <c r="S111" s="27"/>
    </row>
    <row r="112" spans="3:19" s="19" customFormat="1" ht="18.600000000000001" thickBot="1">
      <c r="C112" s="259"/>
      <c r="D112" s="260"/>
      <c r="E112" s="261"/>
      <c r="F112" s="262"/>
      <c r="G112" s="260"/>
      <c r="H112" s="263"/>
      <c r="I112" s="263"/>
      <c r="J112" s="264"/>
      <c r="K112" s="265"/>
      <c r="L112" s="266"/>
      <c r="M112" s="267"/>
      <c r="N112" s="266"/>
      <c r="O112" s="226">
        <f t="shared" si="0"/>
        <v>0</v>
      </c>
      <c r="P112" s="249">
        <f t="shared" si="1"/>
        <v>0</v>
      </c>
      <c r="Q112" s="228"/>
      <c r="R112" s="250"/>
      <c r="S112" s="27"/>
    </row>
    <row r="113" spans="3:19" s="19" customFormat="1" ht="18.600000000000001" thickBot="1">
      <c r="C113" s="259"/>
      <c r="D113" s="260"/>
      <c r="E113" s="261"/>
      <c r="F113" s="262"/>
      <c r="G113" s="260"/>
      <c r="H113" s="263"/>
      <c r="I113" s="263"/>
      <c r="J113" s="264"/>
      <c r="K113" s="265"/>
      <c r="L113" s="266"/>
      <c r="M113" s="267"/>
      <c r="N113" s="266"/>
      <c r="O113" s="226">
        <f t="shared" si="0"/>
        <v>0</v>
      </c>
      <c r="P113" s="249">
        <f t="shared" si="1"/>
        <v>0</v>
      </c>
      <c r="Q113" s="228"/>
      <c r="R113" s="250"/>
      <c r="S113" s="27"/>
    </row>
    <row r="114" spans="3:19" s="19" customFormat="1" ht="18.600000000000001" thickBot="1">
      <c r="C114" s="259"/>
      <c r="D114" s="260"/>
      <c r="E114" s="261"/>
      <c r="F114" s="262"/>
      <c r="G114" s="260"/>
      <c r="H114" s="263"/>
      <c r="I114" s="263"/>
      <c r="J114" s="264"/>
      <c r="K114" s="265"/>
      <c r="L114" s="266"/>
      <c r="M114" s="267"/>
      <c r="N114" s="266"/>
      <c r="O114" s="226">
        <f t="shared" si="0"/>
        <v>0</v>
      </c>
      <c r="P114" s="249">
        <f t="shared" si="1"/>
        <v>0</v>
      </c>
      <c r="Q114" s="228"/>
      <c r="R114" s="250"/>
      <c r="S114" s="27"/>
    </row>
    <row r="115" spans="3:19" s="19" customFormat="1" ht="18.600000000000001" thickBot="1">
      <c r="C115" s="259"/>
      <c r="D115" s="260"/>
      <c r="E115" s="261"/>
      <c r="F115" s="262"/>
      <c r="G115" s="260"/>
      <c r="H115" s="263"/>
      <c r="I115" s="263"/>
      <c r="J115" s="264"/>
      <c r="K115" s="265"/>
      <c r="L115" s="266"/>
      <c r="M115" s="267"/>
      <c r="N115" s="266"/>
      <c r="O115" s="226">
        <f t="shared" ref="O115:O178" si="2">M115*(1+N115)</f>
        <v>0</v>
      </c>
      <c r="P115" s="249">
        <f t="shared" ref="P115:P178" si="3">IF(OR(K115&lt;&gt;0, K115&lt;&gt;""), (K115+L115)*O115, O115*(J115+L115))</f>
        <v>0</v>
      </c>
      <c r="Q115" s="228"/>
      <c r="R115" s="250"/>
      <c r="S115" s="27"/>
    </row>
    <row r="116" spans="3:19" s="19" customFormat="1" ht="18.600000000000001" thickBot="1">
      <c r="C116" s="259"/>
      <c r="D116" s="260"/>
      <c r="E116" s="261"/>
      <c r="F116" s="262"/>
      <c r="G116" s="260"/>
      <c r="H116" s="263"/>
      <c r="I116" s="263"/>
      <c r="J116" s="264"/>
      <c r="K116" s="265"/>
      <c r="L116" s="266"/>
      <c r="M116" s="267"/>
      <c r="N116" s="266"/>
      <c r="O116" s="226">
        <f t="shared" si="2"/>
        <v>0</v>
      </c>
      <c r="P116" s="249">
        <f t="shared" si="3"/>
        <v>0</v>
      </c>
      <c r="Q116" s="228"/>
      <c r="R116" s="250"/>
      <c r="S116" s="27"/>
    </row>
    <row r="117" spans="3:19" s="19" customFormat="1" ht="18.600000000000001" thickBot="1">
      <c r="C117" s="259"/>
      <c r="D117" s="260"/>
      <c r="E117" s="261"/>
      <c r="F117" s="262"/>
      <c r="G117" s="260"/>
      <c r="H117" s="263"/>
      <c r="I117" s="263"/>
      <c r="J117" s="264"/>
      <c r="K117" s="265"/>
      <c r="L117" s="266"/>
      <c r="M117" s="267"/>
      <c r="N117" s="266"/>
      <c r="O117" s="226">
        <f t="shared" si="2"/>
        <v>0</v>
      </c>
      <c r="P117" s="249">
        <f t="shared" si="3"/>
        <v>0</v>
      </c>
      <c r="Q117" s="228"/>
      <c r="R117" s="250"/>
      <c r="S117" s="27"/>
    </row>
    <row r="118" spans="3:19" s="19" customFormat="1" ht="18.600000000000001" thickBot="1">
      <c r="C118" s="259"/>
      <c r="D118" s="260"/>
      <c r="E118" s="261"/>
      <c r="F118" s="262"/>
      <c r="G118" s="260"/>
      <c r="H118" s="263"/>
      <c r="I118" s="263"/>
      <c r="J118" s="264"/>
      <c r="K118" s="265"/>
      <c r="L118" s="266"/>
      <c r="M118" s="267"/>
      <c r="N118" s="266"/>
      <c r="O118" s="226">
        <f t="shared" si="2"/>
        <v>0</v>
      </c>
      <c r="P118" s="249">
        <f t="shared" si="3"/>
        <v>0</v>
      </c>
      <c r="Q118" s="228"/>
      <c r="R118" s="250"/>
      <c r="S118" s="27"/>
    </row>
    <row r="119" spans="3:19" s="19" customFormat="1" ht="18.600000000000001" thickBot="1">
      <c r="C119" s="259"/>
      <c r="D119" s="260"/>
      <c r="E119" s="261"/>
      <c r="F119" s="262"/>
      <c r="G119" s="260"/>
      <c r="H119" s="263"/>
      <c r="I119" s="263"/>
      <c r="J119" s="264"/>
      <c r="K119" s="265"/>
      <c r="L119" s="266"/>
      <c r="M119" s="267"/>
      <c r="N119" s="266"/>
      <c r="O119" s="226">
        <f t="shared" si="2"/>
        <v>0</v>
      </c>
      <c r="P119" s="249">
        <f t="shared" si="3"/>
        <v>0</v>
      </c>
      <c r="Q119" s="228"/>
      <c r="R119" s="250"/>
      <c r="S119" s="27"/>
    </row>
    <row r="120" spans="3:19" s="19" customFormat="1" ht="18.600000000000001" thickBot="1">
      <c r="C120" s="259"/>
      <c r="D120" s="260"/>
      <c r="E120" s="261"/>
      <c r="F120" s="262"/>
      <c r="G120" s="260"/>
      <c r="H120" s="263"/>
      <c r="I120" s="263"/>
      <c r="J120" s="264"/>
      <c r="K120" s="265"/>
      <c r="L120" s="266"/>
      <c r="M120" s="267"/>
      <c r="N120" s="266"/>
      <c r="O120" s="226">
        <f t="shared" si="2"/>
        <v>0</v>
      </c>
      <c r="P120" s="249">
        <f t="shared" si="3"/>
        <v>0</v>
      </c>
      <c r="Q120" s="228"/>
      <c r="R120" s="250"/>
      <c r="S120" s="27"/>
    </row>
    <row r="121" spans="3:19" s="19" customFormat="1" ht="18.600000000000001" thickBot="1">
      <c r="C121" s="259"/>
      <c r="D121" s="260"/>
      <c r="E121" s="261"/>
      <c r="F121" s="262"/>
      <c r="G121" s="260"/>
      <c r="H121" s="263"/>
      <c r="I121" s="263"/>
      <c r="J121" s="264"/>
      <c r="K121" s="265"/>
      <c r="L121" s="266"/>
      <c r="M121" s="267"/>
      <c r="N121" s="266"/>
      <c r="O121" s="226">
        <f t="shared" si="2"/>
        <v>0</v>
      </c>
      <c r="P121" s="249">
        <f t="shared" si="3"/>
        <v>0</v>
      </c>
      <c r="Q121" s="228"/>
      <c r="R121" s="250"/>
      <c r="S121" s="27"/>
    </row>
    <row r="122" spans="3:19" s="19" customFormat="1" ht="18.600000000000001" thickBot="1">
      <c r="C122" s="259"/>
      <c r="D122" s="260"/>
      <c r="E122" s="261"/>
      <c r="F122" s="262"/>
      <c r="G122" s="260"/>
      <c r="H122" s="263"/>
      <c r="I122" s="263"/>
      <c r="J122" s="264"/>
      <c r="K122" s="265"/>
      <c r="L122" s="266"/>
      <c r="M122" s="267"/>
      <c r="N122" s="266"/>
      <c r="O122" s="226">
        <f t="shared" si="2"/>
        <v>0</v>
      </c>
      <c r="P122" s="249">
        <f t="shared" si="3"/>
        <v>0</v>
      </c>
      <c r="Q122" s="228"/>
      <c r="R122" s="250"/>
      <c r="S122" s="27"/>
    </row>
    <row r="123" spans="3:19" s="19" customFormat="1" ht="18.600000000000001" thickBot="1">
      <c r="C123" s="259"/>
      <c r="D123" s="260"/>
      <c r="E123" s="261"/>
      <c r="F123" s="262"/>
      <c r="G123" s="260"/>
      <c r="H123" s="263"/>
      <c r="I123" s="263"/>
      <c r="J123" s="264"/>
      <c r="K123" s="265"/>
      <c r="L123" s="266"/>
      <c r="M123" s="267"/>
      <c r="N123" s="266"/>
      <c r="O123" s="226">
        <f t="shared" si="2"/>
        <v>0</v>
      </c>
      <c r="P123" s="249">
        <f t="shared" si="3"/>
        <v>0</v>
      </c>
      <c r="Q123" s="228"/>
      <c r="R123" s="250"/>
      <c r="S123" s="27"/>
    </row>
    <row r="124" spans="3:19" s="19" customFormat="1" ht="18.600000000000001" thickBot="1">
      <c r="C124" s="259"/>
      <c r="D124" s="260"/>
      <c r="E124" s="261"/>
      <c r="F124" s="262"/>
      <c r="G124" s="260"/>
      <c r="H124" s="263"/>
      <c r="I124" s="263"/>
      <c r="J124" s="264"/>
      <c r="K124" s="265"/>
      <c r="L124" s="266"/>
      <c r="M124" s="267"/>
      <c r="N124" s="266"/>
      <c r="O124" s="226">
        <f t="shared" si="2"/>
        <v>0</v>
      </c>
      <c r="P124" s="249">
        <f t="shared" si="3"/>
        <v>0</v>
      </c>
      <c r="Q124" s="228"/>
      <c r="R124" s="250"/>
      <c r="S124" s="27"/>
    </row>
    <row r="125" spans="3:19" s="19" customFormat="1" ht="18.600000000000001" thickBot="1">
      <c r="C125" s="259"/>
      <c r="D125" s="260"/>
      <c r="E125" s="261"/>
      <c r="F125" s="262"/>
      <c r="G125" s="260"/>
      <c r="H125" s="263"/>
      <c r="I125" s="263"/>
      <c r="J125" s="264"/>
      <c r="K125" s="265"/>
      <c r="L125" s="266"/>
      <c r="M125" s="267"/>
      <c r="N125" s="266"/>
      <c r="O125" s="226">
        <f t="shared" si="2"/>
        <v>0</v>
      </c>
      <c r="P125" s="249">
        <f t="shared" si="3"/>
        <v>0</v>
      </c>
      <c r="Q125" s="228"/>
      <c r="R125" s="250"/>
      <c r="S125" s="27"/>
    </row>
    <row r="126" spans="3:19" s="19" customFormat="1" ht="18.600000000000001" thickBot="1">
      <c r="C126" s="259"/>
      <c r="D126" s="260"/>
      <c r="E126" s="261"/>
      <c r="F126" s="262"/>
      <c r="G126" s="260"/>
      <c r="H126" s="263"/>
      <c r="I126" s="263"/>
      <c r="J126" s="264"/>
      <c r="K126" s="265"/>
      <c r="L126" s="266"/>
      <c r="M126" s="267"/>
      <c r="N126" s="266"/>
      <c r="O126" s="226">
        <f t="shared" si="2"/>
        <v>0</v>
      </c>
      <c r="P126" s="249">
        <f t="shared" si="3"/>
        <v>0</v>
      </c>
      <c r="Q126" s="228"/>
      <c r="R126" s="250"/>
      <c r="S126" s="27"/>
    </row>
    <row r="127" spans="3:19" s="19" customFormat="1" ht="18.600000000000001" thickBot="1">
      <c r="C127" s="259"/>
      <c r="D127" s="260"/>
      <c r="E127" s="261"/>
      <c r="F127" s="262"/>
      <c r="G127" s="260"/>
      <c r="H127" s="263"/>
      <c r="I127" s="263"/>
      <c r="J127" s="264"/>
      <c r="K127" s="265"/>
      <c r="L127" s="266"/>
      <c r="M127" s="267"/>
      <c r="N127" s="266"/>
      <c r="O127" s="226">
        <f t="shared" si="2"/>
        <v>0</v>
      </c>
      <c r="P127" s="249">
        <f t="shared" si="3"/>
        <v>0</v>
      </c>
      <c r="Q127" s="228"/>
      <c r="R127" s="250"/>
      <c r="S127" s="27"/>
    </row>
    <row r="128" spans="3:19" s="19" customFormat="1" ht="18.600000000000001" thickBot="1">
      <c r="C128" s="259"/>
      <c r="D128" s="260"/>
      <c r="E128" s="261"/>
      <c r="F128" s="262"/>
      <c r="G128" s="260"/>
      <c r="H128" s="263"/>
      <c r="I128" s="263"/>
      <c r="J128" s="264"/>
      <c r="K128" s="265"/>
      <c r="L128" s="266"/>
      <c r="M128" s="267"/>
      <c r="N128" s="266"/>
      <c r="O128" s="226">
        <f t="shared" si="2"/>
        <v>0</v>
      </c>
      <c r="P128" s="249">
        <f t="shared" si="3"/>
        <v>0</v>
      </c>
      <c r="Q128" s="228"/>
      <c r="R128" s="250"/>
      <c r="S128" s="27"/>
    </row>
    <row r="129" spans="3:19" s="19" customFormat="1" ht="18.600000000000001" thickBot="1">
      <c r="C129" s="259"/>
      <c r="D129" s="260"/>
      <c r="E129" s="261"/>
      <c r="F129" s="262"/>
      <c r="G129" s="260"/>
      <c r="H129" s="263"/>
      <c r="I129" s="263"/>
      <c r="J129" s="264"/>
      <c r="K129" s="265"/>
      <c r="L129" s="266"/>
      <c r="M129" s="267"/>
      <c r="N129" s="266"/>
      <c r="O129" s="226">
        <f t="shared" si="2"/>
        <v>0</v>
      </c>
      <c r="P129" s="249">
        <f t="shared" si="3"/>
        <v>0</v>
      </c>
      <c r="Q129" s="228"/>
      <c r="R129" s="250"/>
      <c r="S129" s="27"/>
    </row>
    <row r="130" spans="3:19" s="19" customFormat="1" ht="18.600000000000001" thickBot="1">
      <c r="C130" s="259"/>
      <c r="D130" s="260"/>
      <c r="E130" s="261"/>
      <c r="F130" s="262"/>
      <c r="G130" s="260"/>
      <c r="H130" s="263"/>
      <c r="I130" s="263"/>
      <c r="J130" s="264"/>
      <c r="K130" s="265"/>
      <c r="L130" s="266"/>
      <c r="M130" s="267"/>
      <c r="N130" s="266"/>
      <c r="O130" s="226">
        <f t="shared" si="2"/>
        <v>0</v>
      </c>
      <c r="P130" s="249">
        <f t="shared" si="3"/>
        <v>0</v>
      </c>
      <c r="Q130" s="228"/>
      <c r="R130" s="250"/>
      <c r="S130" s="27"/>
    </row>
    <row r="131" spans="3:19" s="19" customFormat="1" ht="18.600000000000001" thickBot="1">
      <c r="C131" s="259"/>
      <c r="D131" s="260"/>
      <c r="E131" s="261"/>
      <c r="F131" s="262"/>
      <c r="G131" s="260"/>
      <c r="H131" s="263"/>
      <c r="I131" s="263"/>
      <c r="J131" s="264"/>
      <c r="K131" s="265"/>
      <c r="L131" s="266"/>
      <c r="M131" s="267"/>
      <c r="N131" s="266"/>
      <c r="O131" s="226">
        <f t="shared" si="2"/>
        <v>0</v>
      </c>
      <c r="P131" s="249">
        <f t="shared" si="3"/>
        <v>0</v>
      </c>
      <c r="Q131" s="228"/>
      <c r="R131" s="250"/>
      <c r="S131" s="27"/>
    </row>
    <row r="132" spans="3:19" s="19" customFormat="1" ht="18.600000000000001" thickBot="1">
      <c r="C132" s="259"/>
      <c r="D132" s="260"/>
      <c r="E132" s="261"/>
      <c r="F132" s="262"/>
      <c r="G132" s="260"/>
      <c r="H132" s="263"/>
      <c r="I132" s="263"/>
      <c r="J132" s="264"/>
      <c r="K132" s="265"/>
      <c r="L132" s="266"/>
      <c r="M132" s="267"/>
      <c r="N132" s="266"/>
      <c r="O132" s="226">
        <f t="shared" si="2"/>
        <v>0</v>
      </c>
      <c r="P132" s="249">
        <f t="shared" si="3"/>
        <v>0</v>
      </c>
      <c r="Q132" s="228"/>
      <c r="R132" s="250"/>
      <c r="S132" s="27"/>
    </row>
    <row r="133" spans="3:19" s="19" customFormat="1" ht="18.600000000000001" thickBot="1">
      <c r="C133" s="259"/>
      <c r="D133" s="260"/>
      <c r="E133" s="261"/>
      <c r="F133" s="262"/>
      <c r="G133" s="260"/>
      <c r="H133" s="263"/>
      <c r="I133" s="263"/>
      <c r="J133" s="264"/>
      <c r="K133" s="265"/>
      <c r="L133" s="266"/>
      <c r="M133" s="267"/>
      <c r="N133" s="266"/>
      <c r="O133" s="226">
        <f t="shared" si="2"/>
        <v>0</v>
      </c>
      <c r="P133" s="249">
        <f t="shared" si="3"/>
        <v>0</v>
      </c>
      <c r="Q133" s="228"/>
      <c r="R133" s="250"/>
      <c r="S133" s="27"/>
    </row>
    <row r="134" spans="3:19" s="19" customFormat="1" ht="18.600000000000001" thickBot="1">
      <c r="C134" s="259"/>
      <c r="D134" s="260"/>
      <c r="E134" s="261"/>
      <c r="F134" s="262"/>
      <c r="G134" s="260"/>
      <c r="H134" s="263"/>
      <c r="I134" s="263"/>
      <c r="J134" s="264"/>
      <c r="K134" s="265"/>
      <c r="L134" s="266"/>
      <c r="M134" s="267"/>
      <c r="N134" s="266"/>
      <c r="O134" s="226">
        <f t="shared" si="2"/>
        <v>0</v>
      </c>
      <c r="P134" s="249">
        <f t="shared" si="3"/>
        <v>0</v>
      </c>
      <c r="Q134" s="228"/>
      <c r="R134" s="250"/>
      <c r="S134" s="27"/>
    </row>
    <row r="135" spans="3:19" s="19" customFormat="1" ht="18.600000000000001" thickBot="1">
      <c r="C135" s="259"/>
      <c r="D135" s="260"/>
      <c r="E135" s="261"/>
      <c r="F135" s="262"/>
      <c r="G135" s="260"/>
      <c r="H135" s="263"/>
      <c r="I135" s="263"/>
      <c r="J135" s="264"/>
      <c r="K135" s="265"/>
      <c r="L135" s="266"/>
      <c r="M135" s="267"/>
      <c r="N135" s="266"/>
      <c r="O135" s="226">
        <f t="shared" si="2"/>
        <v>0</v>
      </c>
      <c r="P135" s="249">
        <f t="shared" si="3"/>
        <v>0</v>
      </c>
      <c r="Q135" s="228"/>
      <c r="R135" s="250"/>
      <c r="S135" s="27"/>
    </row>
    <row r="136" spans="3:19" s="19" customFormat="1" ht="18.600000000000001" thickBot="1">
      <c r="C136" s="259"/>
      <c r="D136" s="260"/>
      <c r="E136" s="261"/>
      <c r="F136" s="262"/>
      <c r="G136" s="260"/>
      <c r="H136" s="263"/>
      <c r="I136" s="263"/>
      <c r="J136" s="264"/>
      <c r="K136" s="265"/>
      <c r="L136" s="266"/>
      <c r="M136" s="267"/>
      <c r="N136" s="266"/>
      <c r="O136" s="226">
        <f t="shared" si="2"/>
        <v>0</v>
      </c>
      <c r="P136" s="249">
        <f t="shared" si="3"/>
        <v>0</v>
      </c>
      <c r="Q136" s="228"/>
      <c r="R136" s="250"/>
      <c r="S136" s="27"/>
    </row>
    <row r="137" spans="3:19" s="19" customFormat="1" ht="18.600000000000001" thickBot="1">
      <c r="C137" s="259"/>
      <c r="D137" s="260"/>
      <c r="E137" s="261"/>
      <c r="F137" s="262"/>
      <c r="G137" s="260"/>
      <c r="H137" s="263"/>
      <c r="I137" s="263"/>
      <c r="J137" s="264"/>
      <c r="K137" s="265"/>
      <c r="L137" s="266"/>
      <c r="M137" s="267"/>
      <c r="N137" s="266"/>
      <c r="O137" s="226">
        <f t="shared" si="2"/>
        <v>0</v>
      </c>
      <c r="P137" s="249">
        <f t="shared" si="3"/>
        <v>0</v>
      </c>
      <c r="Q137" s="228"/>
      <c r="R137" s="250"/>
      <c r="S137" s="27"/>
    </row>
    <row r="138" spans="3:19" s="19" customFormat="1" ht="18.600000000000001" thickBot="1">
      <c r="C138" s="259"/>
      <c r="D138" s="260"/>
      <c r="E138" s="261"/>
      <c r="F138" s="262"/>
      <c r="G138" s="260"/>
      <c r="H138" s="263"/>
      <c r="I138" s="263"/>
      <c r="J138" s="264"/>
      <c r="K138" s="265"/>
      <c r="L138" s="266"/>
      <c r="M138" s="267"/>
      <c r="N138" s="266"/>
      <c r="O138" s="226">
        <f t="shared" si="2"/>
        <v>0</v>
      </c>
      <c r="P138" s="249">
        <f t="shared" si="3"/>
        <v>0</v>
      </c>
      <c r="Q138" s="228"/>
      <c r="R138" s="250"/>
      <c r="S138" s="27"/>
    </row>
    <row r="139" spans="3:19" s="19" customFormat="1" ht="18.600000000000001" thickBot="1">
      <c r="C139" s="259"/>
      <c r="D139" s="260"/>
      <c r="E139" s="261"/>
      <c r="F139" s="262"/>
      <c r="G139" s="260"/>
      <c r="H139" s="263"/>
      <c r="I139" s="263"/>
      <c r="J139" s="264"/>
      <c r="K139" s="265"/>
      <c r="L139" s="266"/>
      <c r="M139" s="267"/>
      <c r="N139" s="266"/>
      <c r="O139" s="226">
        <f t="shared" si="2"/>
        <v>0</v>
      </c>
      <c r="P139" s="249">
        <f t="shared" si="3"/>
        <v>0</v>
      </c>
      <c r="Q139" s="228"/>
      <c r="R139" s="250"/>
      <c r="S139" s="27"/>
    </row>
    <row r="140" spans="3:19" s="19" customFormat="1" ht="18.600000000000001" thickBot="1">
      <c r="C140" s="259"/>
      <c r="D140" s="260"/>
      <c r="E140" s="261"/>
      <c r="F140" s="262"/>
      <c r="G140" s="260"/>
      <c r="H140" s="263"/>
      <c r="I140" s="263"/>
      <c r="J140" s="264"/>
      <c r="K140" s="265"/>
      <c r="L140" s="266"/>
      <c r="M140" s="267"/>
      <c r="N140" s="266"/>
      <c r="O140" s="226">
        <f t="shared" si="2"/>
        <v>0</v>
      </c>
      <c r="P140" s="249">
        <f t="shared" si="3"/>
        <v>0</v>
      </c>
      <c r="Q140" s="228"/>
      <c r="R140" s="250"/>
      <c r="S140" s="27"/>
    </row>
    <row r="141" spans="3:19" s="19" customFormat="1" ht="18.600000000000001" thickBot="1">
      <c r="C141" s="259"/>
      <c r="D141" s="260"/>
      <c r="E141" s="261"/>
      <c r="F141" s="262"/>
      <c r="G141" s="260"/>
      <c r="H141" s="263"/>
      <c r="I141" s="263"/>
      <c r="J141" s="264"/>
      <c r="K141" s="265"/>
      <c r="L141" s="266"/>
      <c r="M141" s="267"/>
      <c r="N141" s="266"/>
      <c r="O141" s="226">
        <f t="shared" si="2"/>
        <v>0</v>
      </c>
      <c r="P141" s="249">
        <f t="shared" si="3"/>
        <v>0</v>
      </c>
      <c r="Q141" s="228"/>
      <c r="R141" s="250"/>
      <c r="S141" s="27"/>
    </row>
    <row r="142" spans="3:19" s="19" customFormat="1" ht="18.600000000000001" thickBot="1">
      <c r="C142" s="259"/>
      <c r="D142" s="260"/>
      <c r="E142" s="261"/>
      <c r="F142" s="262"/>
      <c r="G142" s="260"/>
      <c r="H142" s="263"/>
      <c r="I142" s="263"/>
      <c r="J142" s="264"/>
      <c r="K142" s="265"/>
      <c r="L142" s="266"/>
      <c r="M142" s="267"/>
      <c r="N142" s="266"/>
      <c r="O142" s="226">
        <f t="shared" si="2"/>
        <v>0</v>
      </c>
      <c r="P142" s="249">
        <f t="shared" si="3"/>
        <v>0</v>
      </c>
      <c r="Q142" s="228"/>
      <c r="R142" s="250"/>
      <c r="S142" s="27"/>
    </row>
    <row r="143" spans="3:19" s="19" customFormat="1" ht="18.600000000000001" thickBot="1">
      <c r="C143" s="259"/>
      <c r="D143" s="260"/>
      <c r="E143" s="261"/>
      <c r="F143" s="262"/>
      <c r="G143" s="260"/>
      <c r="H143" s="263"/>
      <c r="I143" s="263"/>
      <c r="J143" s="264"/>
      <c r="K143" s="265"/>
      <c r="L143" s="266"/>
      <c r="M143" s="267"/>
      <c r="N143" s="266"/>
      <c r="O143" s="226">
        <f t="shared" si="2"/>
        <v>0</v>
      </c>
      <c r="P143" s="249">
        <f t="shared" si="3"/>
        <v>0</v>
      </c>
      <c r="Q143" s="228"/>
      <c r="R143" s="250"/>
      <c r="S143" s="27"/>
    </row>
    <row r="144" spans="3:19" s="19" customFormat="1" ht="18.600000000000001" thickBot="1">
      <c r="C144" s="259"/>
      <c r="D144" s="260"/>
      <c r="E144" s="261"/>
      <c r="F144" s="262"/>
      <c r="G144" s="260"/>
      <c r="H144" s="263"/>
      <c r="I144" s="263"/>
      <c r="J144" s="264"/>
      <c r="K144" s="265"/>
      <c r="L144" s="266"/>
      <c r="M144" s="267"/>
      <c r="N144" s="266"/>
      <c r="O144" s="226">
        <f t="shared" si="2"/>
        <v>0</v>
      </c>
      <c r="P144" s="249">
        <f t="shared" si="3"/>
        <v>0</v>
      </c>
      <c r="Q144" s="228"/>
      <c r="R144" s="250"/>
      <c r="S144" s="27"/>
    </row>
    <row r="145" spans="3:19" s="19" customFormat="1" ht="18.600000000000001" thickBot="1">
      <c r="C145" s="259"/>
      <c r="D145" s="260"/>
      <c r="E145" s="261"/>
      <c r="F145" s="262"/>
      <c r="G145" s="260"/>
      <c r="H145" s="263"/>
      <c r="I145" s="263"/>
      <c r="J145" s="264"/>
      <c r="K145" s="265"/>
      <c r="L145" s="266"/>
      <c r="M145" s="267"/>
      <c r="N145" s="266"/>
      <c r="O145" s="226">
        <f t="shared" si="2"/>
        <v>0</v>
      </c>
      <c r="P145" s="249">
        <f t="shared" si="3"/>
        <v>0</v>
      </c>
      <c r="Q145" s="228"/>
      <c r="R145" s="250"/>
      <c r="S145" s="27"/>
    </row>
    <row r="146" spans="3:19" s="19" customFormat="1" ht="18.600000000000001" thickBot="1">
      <c r="C146" s="259"/>
      <c r="D146" s="260"/>
      <c r="E146" s="261"/>
      <c r="F146" s="262"/>
      <c r="G146" s="260"/>
      <c r="H146" s="263"/>
      <c r="I146" s="263"/>
      <c r="J146" s="264"/>
      <c r="K146" s="265"/>
      <c r="L146" s="266"/>
      <c r="M146" s="267"/>
      <c r="N146" s="266"/>
      <c r="O146" s="226">
        <f t="shared" si="2"/>
        <v>0</v>
      </c>
      <c r="P146" s="249">
        <f t="shared" si="3"/>
        <v>0</v>
      </c>
      <c r="Q146" s="228"/>
      <c r="R146" s="250"/>
      <c r="S146" s="27"/>
    </row>
    <row r="147" spans="3:19" s="19" customFormat="1" ht="18.600000000000001" thickBot="1">
      <c r="C147" s="259"/>
      <c r="D147" s="260"/>
      <c r="E147" s="261"/>
      <c r="F147" s="262"/>
      <c r="G147" s="260"/>
      <c r="H147" s="263"/>
      <c r="I147" s="263"/>
      <c r="J147" s="264"/>
      <c r="K147" s="265"/>
      <c r="L147" s="266"/>
      <c r="M147" s="267"/>
      <c r="N147" s="266"/>
      <c r="O147" s="226">
        <f t="shared" si="2"/>
        <v>0</v>
      </c>
      <c r="P147" s="249">
        <f t="shared" si="3"/>
        <v>0</v>
      </c>
      <c r="Q147" s="228"/>
      <c r="R147" s="250"/>
      <c r="S147" s="27"/>
    </row>
    <row r="148" spans="3:19" s="19" customFormat="1" ht="18.600000000000001" thickBot="1">
      <c r="C148" s="259"/>
      <c r="D148" s="260"/>
      <c r="E148" s="261"/>
      <c r="F148" s="262"/>
      <c r="G148" s="260"/>
      <c r="H148" s="263"/>
      <c r="I148" s="263"/>
      <c r="J148" s="264"/>
      <c r="K148" s="265"/>
      <c r="L148" s="266"/>
      <c r="M148" s="267"/>
      <c r="N148" s="266"/>
      <c r="O148" s="226">
        <f t="shared" si="2"/>
        <v>0</v>
      </c>
      <c r="P148" s="249">
        <f t="shared" si="3"/>
        <v>0</v>
      </c>
      <c r="Q148" s="228"/>
      <c r="R148" s="250"/>
      <c r="S148" s="27"/>
    </row>
    <row r="149" spans="3:19" s="19" customFormat="1" ht="18.600000000000001" thickBot="1">
      <c r="C149" s="259"/>
      <c r="D149" s="260"/>
      <c r="E149" s="261"/>
      <c r="F149" s="262"/>
      <c r="G149" s="260"/>
      <c r="H149" s="263"/>
      <c r="I149" s="263"/>
      <c r="J149" s="264"/>
      <c r="K149" s="265"/>
      <c r="L149" s="266"/>
      <c r="M149" s="267"/>
      <c r="N149" s="266"/>
      <c r="O149" s="226">
        <f t="shared" si="2"/>
        <v>0</v>
      </c>
      <c r="P149" s="249">
        <f t="shared" si="3"/>
        <v>0</v>
      </c>
      <c r="Q149" s="228"/>
      <c r="R149" s="250"/>
      <c r="S149" s="27"/>
    </row>
    <row r="150" spans="3:19" s="19" customFormat="1" ht="18.600000000000001" thickBot="1">
      <c r="C150" s="259"/>
      <c r="D150" s="260"/>
      <c r="E150" s="261"/>
      <c r="F150" s="262"/>
      <c r="G150" s="260"/>
      <c r="H150" s="263"/>
      <c r="I150" s="263"/>
      <c r="J150" s="264"/>
      <c r="K150" s="265"/>
      <c r="L150" s="266"/>
      <c r="M150" s="267"/>
      <c r="N150" s="266"/>
      <c r="O150" s="226">
        <f t="shared" si="2"/>
        <v>0</v>
      </c>
      <c r="P150" s="249">
        <f t="shared" si="3"/>
        <v>0</v>
      </c>
      <c r="Q150" s="228"/>
      <c r="R150" s="250"/>
      <c r="S150" s="27"/>
    </row>
    <row r="151" spans="3:19" s="19" customFormat="1" ht="18.600000000000001" thickBot="1">
      <c r="C151" s="259"/>
      <c r="D151" s="260"/>
      <c r="E151" s="261"/>
      <c r="F151" s="262"/>
      <c r="G151" s="260"/>
      <c r="H151" s="263"/>
      <c r="I151" s="263"/>
      <c r="J151" s="264"/>
      <c r="K151" s="265"/>
      <c r="L151" s="266"/>
      <c r="M151" s="267"/>
      <c r="N151" s="266"/>
      <c r="O151" s="226">
        <f t="shared" si="2"/>
        <v>0</v>
      </c>
      <c r="P151" s="249">
        <f t="shared" si="3"/>
        <v>0</v>
      </c>
      <c r="Q151" s="228"/>
      <c r="R151" s="250"/>
      <c r="S151" s="27"/>
    </row>
    <row r="152" spans="3:19" s="19" customFormat="1" ht="18.600000000000001" thickBot="1">
      <c r="C152" s="259"/>
      <c r="D152" s="260"/>
      <c r="E152" s="261"/>
      <c r="F152" s="262"/>
      <c r="G152" s="260"/>
      <c r="H152" s="263"/>
      <c r="I152" s="263"/>
      <c r="J152" s="264"/>
      <c r="K152" s="265"/>
      <c r="L152" s="266"/>
      <c r="M152" s="267"/>
      <c r="N152" s="266"/>
      <c r="O152" s="226">
        <f t="shared" si="2"/>
        <v>0</v>
      </c>
      <c r="P152" s="249">
        <f t="shared" si="3"/>
        <v>0</v>
      </c>
      <c r="Q152" s="228"/>
      <c r="R152" s="250"/>
      <c r="S152" s="27"/>
    </row>
    <row r="153" spans="3:19" s="19" customFormat="1" ht="18.600000000000001" thickBot="1">
      <c r="C153" s="259"/>
      <c r="D153" s="260"/>
      <c r="E153" s="261"/>
      <c r="F153" s="262"/>
      <c r="G153" s="260"/>
      <c r="H153" s="263"/>
      <c r="I153" s="263"/>
      <c r="J153" s="264"/>
      <c r="K153" s="265"/>
      <c r="L153" s="266"/>
      <c r="M153" s="267"/>
      <c r="N153" s="266"/>
      <c r="O153" s="226">
        <f t="shared" si="2"/>
        <v>0</v>
      </c>
      <c r="P153" s="249">
        <f t="shared" si="3"/>
        <v>0</v>
      </c>
      <c r="Q153" s="228"/>
      <c r="R153" s="250"/>
      <c r="S153" s="27"/>
    </row>
    <row r="154" spans="3:19" s="19" customFormat="1" ht="18.600000000000001" thickBot="1">
      <c r="C154" s="259"/>
      <c r="D154" s="260"/>
      <c r="E154" s="261"/>
      <c r="F154" s="262"/>
      <c r="G154" s="260"/>
      <c r="H154" s="263"/>
      <c r="I154" s="263"/>
      <c r="J154" s="264"/>
      <c r="K154" s="265"/>
      <c r="L154" s="266"/>
      <c r="M154" s="267"/>
      <c r="N154" s="266"/>
      <c r="O154" s="226">
        <f t="shared" si="2"/>
        <v>0</v>
      </c>
      <c r="P154" s="249">
        <f t="shared" si="3"/>
        <v>0</v>
      </c>
      <c r="Q154" s="228"/>
      <c r="R154" s="250"/>
      <c r="S154" s="27"/>
    </row>
    <row r="155" spans="3:19" s="19" customFormat="1" ht="18.600000000000001" thickBot="1">
      <c r="C155" s="259"/>
      <c r="D155" s="260"/>
      <c r="E155" s="261"/>
      <c r="F155" s="262"/>
      <c r="G155" s="260"/>
      <c r="H155" s="263"/>
      <c r="I155" s="263"/>
      <c r="J155" s="264"/>
      <c r="K155" s="265"/>
      <c r="L155" s="266"/>
      <c r="M155" s="267"/>
      <c r="N155" s="266"/>
      <c r="O155" s="226">
        <f t="shared" si="2"/>
        <v>0</v>
      </c>
      <c r="P155" s="249">
        <f t="shared" si="3"/>
        <v>0</v>
      </c>
      <c r="Q155" s="228"/>
      <c r="R155" s="250"/>
      <c r="S155" s="27"/>
    </row>
    <row r="156" spans="3:19" s="19" customFormat="1" ht="18.600000000000001" thickBot="1">
      <c r="C156" s="259"/>
      <c r="D156" s="260"/>
      <c r="E156" s="261"/>
      <c r="F156" s="262"/>
      <c r="G156" s="260"/>
      <c r="H156" s="263"/>
      <c r="I156" s="263"/>
      <c r="J156" s="264"/>
      <c r="K156" s="265"/>
      <c r="L156" s="266"/>
      <c r="M156" s="267"/>
      <c r="N156" s="266"/>
      <c r="O156" s="226">
        <f t="shared" si="2"/>
        <v>0</v>
      </c>
      <c r="P156" s="249">
        <f t="shared" si="3"/>
        <v>0</v>
      </c>
      <c r="Q156" s="228"/>
      <c r="R156" s="250"/>
      <c r="S156" s="27"/>
    </row>
    <row r="157" spans="3:19" s="19" customFormat="1" ht="18.600000000000001" thickBot="1">
      <c r="C157" s="259"/>
      <c r="D157" s="260"/>
      <c r="E157" s="261"/>
      <c r="F157" s="262"/>
      <c r="G157" s="260"/>
      <c r="H157" s="263"/>
      <c r="I157" s="263"/>
      <c r="J157" s="264"/>
      <c r="K157" s="265"/>
      <c r="L157" s="266"/>
      <c r="M157" s="267"/>
      <c r="N157" s="266"/>
      <c r="O157" s="226">
        <f t="shared" si="2"/>
        <v>0</v>
      </c>
      <c r="P157" s="249">
        <f t="shared" si="3"/>
        <v>0</v>
      </c>
      <c r="Q157" s="228"/>
      <c r="R157" s="250"/>
      <c r="S157" s="27"/>
    </row>
    <row r="158" spans="3:19" s="19" customFormat="1" ht="18.600000000000001" thickBot="1">
      <c r="C158" s="259"/>
      <c r="D158" s="260"/>
      <c r="E158" s="261"/>
      <c r="F158" s="262"/>
      <c r="G158" s="260"/>
      <c r="H158" s="263"/>
      <c r="I158" s="263"/>
      <c r="J158" s="264"/>
      <c r="K158" s="265"/>
      <c r="L158" s="266"/>
      <c r="M158" s="267"/>
      <c r="N158" s="266"/>
      <c r="O158" s="226">
        <f t="shared" si="2"/>
        <v>0</v>
      </c>
      <c r="P158" s="249">
        <f t="shared" si="3"/>
        <v>0</v>
      </c>
      <c r="Q158" s="228"/>
      <c r="R158" s="250"/>
      <c r="S158" s="27"/>
    </row>
    <row r="159" spans="3:19" s="19" customFormat="1" ht="18.600000000000001" thickBot="1">
      <c r="C159" s="259"/>
      <c r="D159" s="260"/>
      <c r="E159" s="261"/>
      <c r="F159" s="262"/>
      <c r="G159" s="260"/>
      <c r="H159" s="263"/>
      <c r="I159" s="263"/>
      <c r="J159" s="264"/>
      <c r="K159" s="265"/>
      <c r="L159" s="266"/>
      <c r="M159" s="267"/>
      <c r="N159" s="266"/>
      <c r="O159" s="226">
        <f t="shared" si="2"/>
        <v>0</v>
      </c>
      <c r="P159" s="249">
        <f t="shared" si="3"/>
        <v>0</v>
      </c>
      <c r="Q159" s="228"/>
      <c r="R159" s="250"/>
      <c r="S159" s="27"/>
    </row>
    <row r="160" spans="3:19" s="19" customFormat="1" ht="18.600000000000001" thickBot="1">
      <c r="C160" s="259"/>
      <c r="D160" s="260"/>
      <c r="E160" s="261"/>
      <c r="F160" s="262"/>
      <c r="G160" s="260"/>
      <c r="H160" s="263"/>
      <c r="I160" s="263"/>
      <c r="J160" s="264"/>
      <c r="K160" s="265"/>
      <c r="L160" s="266"/>
      <c r="M160" s="267"/>
      <c r="N160" s="266"/>
      <c r="O160" s="226">
        <f t="shared" si="2"/>
        <v>0</v>
      </c>
      <c r="P160" s="249">
        <f t="shared" si="3"/>
        <v>0</v>
      </c>
      <c r="Q160" s="228"/>
      <c r="R160" s="250"/>
      <c r="S160" s="27"/>
    </row>
    <row r="161" spans="3:19" s="19" customFormat="1" ht="18.600000000000001" thickBot="1">
      <c r="C161" s="259"/>
      <c r="D161" s="260"/>
      <c r="E161" s="261"/>
      <c r="F161" s="262"/>
      <c r="G161" s="260"/>
      <c r="H161" s="263"/>
      <c r="I161" s="263"/>
      <c r="J161" s="264"/>
      <c r="K161" s="265"/>
      <c r="L161" s="266"/>
      <c r="M161" s="267"/>
      <c r="N161" s="266"/>
      <c r="O161" s="226">
        <f t="shared" si="2"/>
        <v>0</v>
      </c>
      <c r="P161" s="249">
        <f t="shared" si="3"/>
        <v>0</v>
      </c>
      <c r="Q161" s="228"/>
      <c r="R161" s="250"/>
      <c r="S161" s="27"/>
    </row>
    <row r="162" spans="3:19" s="19" customFormat="1" ht="18.600000000000001" thickBot="1">
      <c r="C162" s="259"/>
      <c r="D162" s="260"/>
      <c r="E162" s="261"/>
      <c r="F162" s="262"/>
      <c r="G162" s="260"/>
      <c r="H162" s="263"/>
      <c r="I162" s="263"/>
      <c r="J162" s="264"/>
      <c r="K162" s="265"/>
      <c r="L162" s="266"/>
      <c r="M162" s="267"/>
      <c r="N162" s="266"/>
      <c r="O162" s="226">
        <f t="shared" si="2"/>
        <v>0</v>
      </c>
      <c r="P162" s="249">
        <f t="shared" si="3"/>
        <v>0</v>
      </c>
      <c r="Q162" s="228"/>
      <c r="R162" s="250"/>
      <c r="S162" s="27"/>
    </row>
    <row r="163" spans="3:19" s="19" customFormat="1" ht="18.600000000000001" thickBot="1">
      <c r="C163" s="259"/>
      <c r="D163" s="260"/>
      <c r="E163" s="261"/>
      <c r="F163" s="262"/>
      <c r="G163" s="260"/>
      <c r="H163" s="263"/>
      <c r="I163" s="263"/>
      <c r="J163" s="264"/>
      <c r="K163" s="265"/>
      <c r="L163" s="266"/>
      <c r="M163" s="267"/>
      <c r="N163" s="266"/>
      <c r="O163" s="226">
        <f t="shared" si="2"/>
        <v>0</v>
      </c>
      <c r="P163" s="249">
        <f t="shared" si="3"/>
        <v>0</v>
      </c>
      <c r="Q163" s="228"/>
      <c r="R163" s="250"/>
      <c r="S163" s="27"/>
    </row>
    <row r="164" spans="3:19" s="19" customFormat="1" ht="18.600000000000001" thickBot="1">
      <c r="C164" s="259"/>
      <c r="D164" s="260"/>
      <c r="E164" s="261"/>
      <c r="F164" s="262"/>
      <c r="G164" s="260"/>
      <c r="H164" s="263"/>
      <c r="I164" s="263"/>
      <c r="J164" s="264"/>
      <c r="K164" s="265"/>
      <c r="L164" s="266"/>
      <c r="M164" s="267"/>
      <c r="N164" s="266"/>
      <c r="O164" s="226">
        <f t="shared" si="2"/>
        <v>0</v>
      </c>
      <c r="P164" s="249">
        <f t="shared" si="3"/>
        <v>0</v>
      </c>
      <c r="Q164" s="228"/>
      <c r="R164" s="250"/>
      <c r="S164" s="27"/>
    </row>
    <row r="165" spans="3:19" s="19" customFormat="1" ht="18.600000000000001" thickBot="1">
      <c r="C165" s="259"/>
      <c r="D165" s="260"/>
      <c r="E165" s="261"/>
      <c r="F165" s="262"/>
      <c r="G165" s="260"/>
      <c r="H165" s="263"/>
      <c r="I165" s="263"/>
      <c r="J165" s="264"/>
      <c r="K165" s="265"/>
      <c r="L165" s="266"/>
      <c r="M165" s="267"/>
      <c r="N165" s="266"/>
      <c r="O165" s="226">
        <f t="shared" si="2"/>
        <v>0</v>
      </c>
      <c r="P165" s="249">
        <f t="shared" si="3"/>
        <v>0</v>
      </c>
      <c r="Q165" s="228"/>
      <c r="R165" s="250"/>
      <c r="S165" s="27"/>
    </row>
    <row r="166" spans="3:19" s="19" customFormat="1" ht="18.600000000000001" thickBot="1">
      <c r="C166" s="259"/>
      <c r="D166" s="260"/>
      <c r="E166" s="261"/>
      <c r="F166" s="262"/>
      <c r="G166" s="260"/>
      <c r="H166" s="263"/>
      <c r="I166" s="263"/>
      <c r="J166" s="264"/>
      <c r="K166" s="265"/>
      <c r="L166" s="266"/>
      <c r="M166" s="267"/>
      <c r="N166" s="266"/>
      <c r="O166" s="226">
        <f t="shared" si="2"/>
        <v>0</v>
      </c>
      <c r="P166" s="249">
        <f t="shared" si="3"/>
        <v>0</v>
      </c>
      <c r="Q166" s="228"/>
      <c r="R166" s="250"/>
      <c r="S166" s="27"/>
    </row>
    <row r="167" spans="3:19" s="19" customFormat="1" ht="18.600000000000001" thickBot="1">
      <c r="C167" s="259"/>
      <c r="D167" s="260"/>
      <c r="E167" s="261"/>
      <c r="F167" s="262"/>
      <c r="G167" s="260"/>
      <c r="H167" s="263"/>
      <c r="I167" s="263"/>
      <c r="J167" s="264"/>
      <c r="K167" s="265"/>
      <c r="L167" s="266"/>
      <c r="M167" s="267"/>
      <c r="N167" s="266"/>
      <c r="O167" s="226">
        <f t="shared" si="2"/>
        <v>0</v>
      </c>
      <c r="P167" s="249">
        <f t="shared" si="3"/>
        <v>0</v>
      </c>
      <c r="Q167" s="228"/>
      <c r="R167" s="250"/>
      <c r="S167" s="27"/>
    </row>
    <row r="168" spans="3:19" s="19" customFormat="1" ht="18.600000000000001" thickBot="1">
      <c r="C168" s="259"/>
      <c r="D168" s="260"/>
      <c r="E168" s="261"/>
      <c r="F168" s="262"/>
      <c r="G168" s="260"/>
      <c r="H168" s="263"/>
      <c r="I168" s="263"/>
      <c r="J168" s="264"/>
      <c r="K168" s="265"/>
      <c r="L168" s="266"/>
      <c r="M168" s="267"/>
      <c r="N168" s="266"/>
      <c r="O168" s="226">
        <f t="shared" si="2"/>
        <v>0</v>
      </c>
      <c r="P168" s="249">
        <f t="shared" si="3"/>
        <v>0</v>
      </c>
      <c r="Q168" s="228"/>
      <c r="R168" s="250"/>
      <c r="S168" s="27"/>
    </row>
    <row r="169" spans="3:19" s="19" customFormat="1" ht="18.600000000000001" thickBot="1">
      <c r="C169" s="259"/>
      <c r="D169" s="260"/>
      <c r="E169" s="261"/>
      <c r="F169" s="262"/>
      <c r="G169" s="260"/>
      <c r="H169" s="263"/>
      <c r="I169" s="263"/>
      <c r="J169" s="264"/>
      <c r="K169" s="265"/>
      <c r="L169" s="266"/>
      <c r="M169" s="267"/>
      <c r="N169" s="266"/>
      <c r="O169" s="226">
        <f t="shared" si="2"/>
        <v>0</v>
      </c>
      <c r="P169" s="249">
        <f t="shared" si="3"/>
        <v>0</v>
      </c>
      <c r="Q169" s="228"/>
      <c r="R169" s="250"/>
      <c r="S169" s="27"/>
    </row>
    <row r="170" spans="3:19" s="19" customFormat="1" ht="18.600000000000001" thickBot="1">
      <c r="C170" s="259"/>
      <c r="D170" s="260"/>
      <c r="E170" s="261"/>
      <c r="F170" s="262"/>
      <c r="G170" s="260"/>
      <c r="H170" s="263"/>
      <c r="I170" s="263"/>
      <c r="J170" s="264"/>
      <c r="K170" s="265"/>
      <c r="L170" s="266"/>
      <c r="M170" s="267"/>
      <c r="N170" s="266"/>
      <c r="O170" s="226">
        <f t="shared" si="2"/>
        <v>0</v>
      </c>
      <c r="P170" s="249">
        <f t="shared" si="3"/>
        <v>0</v>
      </c>
      <c r="Q170" s="228"/>
      <c r="R170" s="250"/>
      <c r="S170" s="27"/>
    </row>
    <row r="171" spans="3:19" s="19" customFormat="1" ht="18.600000000000001" thickBot="1">
      <c r="C171" s="259"/>
      <c r="D171" s="260"/>
      <c r="E171" s="261"/>
      <c r="F171" s="262"/>
      <c r="G171" s="260"/>
      <c r="H171" s="263"/>
      <c r="I171" s="263"/>
      <c r="J171" s="264"/>
      <c r="K171" s="265"/>
      <c r="L171" s="266"/>
      <c r="M171" s="267"/>
      <c r="N171" s="266"/>
      <c r="O171" s="226">
        <f t="shared" si="2"/>
        <v>0</v>
      </c>
      <c r="P171" s="249">
        <f t="shared" si="3"/>
        <v>0</v>
      </c>
      <c r="Q171" s="228"/>
      <c r="R171" s="250"/>
      <c r="S171" s="27"/>
    </row>
    <row r="172" spans="3:19" s="19" customFormat="1" ht="18.600000000000001" thickBot="1">
      <c r="C172" s="259"/>
      <c r="D172" s="260"/>
      <c r="E172" s="261"/>
      <c r="F172" s="262"/>
      <c r="G172" s="260"/>
      <c r="H172" s="263"/>
      <c r="I172" s="263"/>
      <c r="J172" s="264"/>
      <c r="K172" s="265"/>
      <c r="L172" s="266"/>
      <c r="M172" s="267"/>
      <c r="N172" s="266"/>
      <c r="O172" s="226">
        <f t="shared" si="2"/>
        <v>0</v>
      </c>
      <c r="P172" s="249">
        <f t="shared" si="3"/>
        <v>0</v>
      </c>
      <c r="Q172" s="228"/>
      <c r="R172" s="250"/>
      <c r="S172" s="27"/>
    </row>
    <row r="173" spans="3:19" s="19" customFormat="1" ht="18.600000000000001" thickBot="1">
      <c r="C173" s="259"/>
      <c r="D173" s="260"/>
      <c r="E173" s="261"/>
      <c r="F173" s="262"/>
      <c r="G173" s="260"/>
      <c r="H173" s="263"/>
      <c r="I173" s="263"/>
      <c r="J173" s="264"/>
      <c r="K173" s="265"/>
      <c r="L173" s="266"/>
      <c r="M173" s="267"/>
      <c r="N173" s="266"/>
      <c r="O173" s="226">
        <f t="shared" si="2"/>
        <v>0</v>
      </c>
      <c r="P173" s="249">
        <f t="shared" si="3"/>
        <v>0</v>
      </c>
      <c r="Q173" s="228"/>
      <c r="R173" s="250"/>
      <c r="S173" s="27"/>
    </row>
    <row r="174" spans="3:19" s="19" customFormat="1" ht="18.600000000000001" thickBot="1">
      <c r="C174" s="259"/>
      <c r="D174" s="260"/>
      <c r="E174" s="261"/>
      <c r="F174" s="262"/>
      <c r="G174" s="260"/>
      <c r="H174" s="263"/>
      <c r="I174" s="263"/>
      <c r="J174" s="264"/>
      <c r="K174" s="265"/>
      <c r="L174" s="266"/>
      <c r="M174" s="267"/>
      <c r="N174" s="266"/>
      <c r="O174" s="226">
        <f t="shared" si="2"/>
        <v>0</v>
      </c>
      <c r="P174" s="249">
        <f t="shared" si="3"/>
        <v>0</v>
      </c>
      <c r="Q174" s="228"/>
      <c r="R174" s="250"/>
      <c r="S174" s="27"/>
    </row>
    <row r="175" spans="3:19" s="19" customFormat="1" ht="18.600000000000001" thickBot="1">
      <c r="C175" s="259"/>
      <c r="D175" s="260"/>
      <c r="E175" s="261"/>
      <c r="F175" s="262"/>
      <c r="G175" s="260"/>
      <c r="H175" s="263"/>
      <c r="I175" s="263"/>
      <c r="J175" s="264"/>
      <c r="K175" s="265"/>
      <c r="L175" s="266"/>
      <c r="M175" s="267"/>
      <c r="N175" s="266"/>
      <c r="O175" s="226">
        <f t="shared" si="2"/>
        <v>0</v>
      </c>
      <c r="P175" s="249">
        <f t="shared" si="3"/>
        <v>0</v>
      </c>
      <c r="Q175" s="228"/>
      <c r="R175" s="250"/>
      <c r="S175" s="27"/>
    </row>
    <row r="176" spans="3:19" s="19" customFormat="1" ht="18.600000000000001" thickBot="1">
      <c r="C176" s="259"/>
      <c r="D176" s="260"/>
      <c r="E176" s="261"/>
      <c r="F176" s="262"/>
      <c r="G176" s="260"/>
      <c r="H176" s="263"/>
      <c r="I176" s="263"/>
      <c r="J176" s="264"/>
      <c r="K176" s="265"/>
      <c r="L176" s="266"/>
      <c r="M176" s="267"/>
      <c r="N176" s="266"/>
      <c r="O176" s="226">
        <f t="shared" si="2"/>
        <v>0</v>
      </c>
      <c r="P176" s="249">
        <f t="shared" si="3"/>
        <v>0</v>
      </c>
      <c r="Q176" s="228"/>
      <c r="R176" s="250"/>
      <c r="S176" s="27"/>
    </row>
    <row r="177" spans="3:19" s="19" customFormat="1" ht="18.600000000000001" thickBot="1">
      <c r="C177" s="259"/>
      <c r="D177" s="260"/>
      <c r="E177" s="261"/>
      <c r="F177" s="262"/>
      <c r="G177" s="260"/>
      <c r="H177" s="263"/>
      <c r="I177" s="263"/>
      <c r="J177" s="264"/>
      <c r="K177" s="265"/>
      <c r="L177" s="266"/>
      <c r="M177" s="267"/>
      <c r="N177" s="266"/>
      <c r="O177" s="226">
        <f t="shared" si="2"/>
        <v>0</v>
      </c>
      <c r="P177" s="249">
        <f t="shared" si="3"/>
        <v>0</v>
      </c>
      <c r="Q177" s="228"/>
      <c r="R177" s="250"/>
      <c r="S177" s="27"/>
    </row>
    <row r="178" spans="3:19" s="19" customFormat="1" ht="18.600000000000001" thickBot="1">
      <c r="C178" s="259"/>
      <c r="D178" s="260"/>
      <c r="E178" s="261"/>
      <c r="F178" s="262"/>
      <c r="G178" s="260"/>
      <c r="H178" s="263"/>
      <c r="I178" s="263"/>
      <c r="J178" s="264"/>
      <c r="K178" s="265"/>
      <c r="L178" s="266"/>
      <c r="M178" s="267"/>
      <c r="N178" s="266"/>
      <c r="O178" s="226">
        <f t="shared" si="2"/>
        <v>0</v>
      </c>
      <c r="P178" s="249">
        <f t="shared" si="3"/>
        <v>0</v>
      </c>
      <c r="Q178" s="228"/>
      <c r="R178" s="250"/>
      <c r="S178" s="27"/>
    </row>
    <row r="179" spans="3:19" s="19" customFormat="1" ht="18.600000000000001" thickBot="1">
      <c r="C179" s="259"/>
      <c r="D179" s="260"/>
      <c r="E179" s="261"/>
      <c r="F179" s="262"/>
      <c r="G179" s="260"/>
      <c r="H179" s="263"/>
      <c r="I179" s="263"/>
      <c r="J179" s="264"/>
      <c r="K179" s="265"/>
      <c r="L179" s="266"/>
      <c r="M179" s="267"/>
      <c r="N179" s="266"/>
      <c r="O179" s="226">
        <f t="shared" ref="O179:O200" si="4">M179*(1+N179)</f>
        <v>0</v>
      </c>
      <c r="P179" s="249">
        <f t="shared" ref="P179:P200" si="5">IF(OR(K179&lt;&gt;0, K179&lt;&gt;""), (K179+L179)*O179, O179*(J179+L179))</f>
        <v>0</v>
      </c>
      <c r="Q179" s="228"/>
      <c r="R179" s="250"/>
      <c r="S179" s="27"/>
    </row>
    <row r="180" spans="3:19" s="19" customFormat="1" ht="18.600000000000001" thickBot="1">
      <c r="C180" s="259"/>
      <c r="D180" s="260"/>
      <c r="E180" s="261"/>
      <c r="F180" s="262"/>
      <c r="G180" s="260"/>
      <c r="H180" s="263"/>
      <c r="I180" s="263"/>
      <c r="J180" s="264"/>
      <c r="K180" s="265"/>
      <c r="L180" s="266"/>
      <c r="M180" s="267"/>
      <c r="N180" s="266"/>
      <c r="O180" s="226">
        <f t="shared" si="4"/>
        <v>0</v>
      </c>
      <c r="P180" s="249">
        <f t="shared" si="5"/>
        <v>0</v>
      </c>
      <c r="Q180" s="228"/>
      <c r="R180" s="250"/>
      <c r="S180" s="27"/>
    </row>
    <row r="181" spans="3:19" s="19" customFormat="1" ht="18.600000000000001" thickBot="1">
      <c r="C181" s="259"/>
      <c r="D181" s="260"/>
      <c r="E181" s="261"/>
      <c r="F181" s="262"/>
      <c r="G181" s="260"/>
      <c r="H181" s="263"/>
      <c r="I181" s="263"/>
      <c r="J181" s="264"/>
      <c r="K181" s="265"/>
      <c r="L181" s="266"/>
      <c r="M181" s="267"/>
      <c r="N181" s="266"/>
      <c r="O181" s="226">
        <f t="shared" si="4"/>
        <v>0</v>
      </c>
      <c r="P181" s="249">
        <f t="shared" si="5"/>
        <v>0</v>
      </c>
      <c r="Q181" s="228"/>
      <c r="R181" s="250"/>
      <c r="S181" s="27"/>
    </row>
    <row r="182" spans="3:19" s="19" customFormat="1" ht="18.600000000000001" thickBot="1">
      <c r="C182" s="259"/>
      <c r="D182" s="260"/>
      <c r="E182" s="261"/>
      <c r="F182" s="262"/>
      <c r="G182" s="260"/>
      <c r="H182" s="263"/>
      <c r="I182" s="263"/>
      <c r="J182" s="264"/>
      <c r="K182" s="265"/>
      <c r="L182" s="266"/>
      <c r="M182" s="267"/>
      <c r="N182" s="266"/>
      <c r="O182" s="226">
        <f t="shared" si="4"/>
        <v>0</v>
      </c>
      <c r="P182" s="249">
        <f t="shared" si="5"/>
        <v>0</v>
      </c>
      <c r="Q182" s="228"/>
      <c r="R182" s="250"/>
      <c r="S182" s="27"/>
    </row>
    <row r="183" spans="3:19" s="19" customFormat="1" ht="18.600000000000001" thickBot="1">
      <c r="C183" s="259"/>
      <c r="D183" s="260"/>
      <c r="E183" s="261"/>
      <c r="F183" s="262"/>
      <c r="G183" s="260"/>
      <c r="H183" s="263"/>
      <c r="I183" s="263"/>
      <c r="J183" s="264"/>
      <c r="K183" s="265"/>
      <c r="L183" s="266"/>
      <c r="M183" s="267"/>
      <c r="N183" s="266"/>
      <c r="O183" s="226">
        <f t="shared" si="4"/>
        <v>0</v>
      </c>
      <c r="P183" s="249">
        <f t="shared" si="5"/>
        <v>0</v>
      </c>
      <c r="Q183" s="228"/>
      <c r="R183" s="250"/>
      <c r="S183" s="27"/>
    </row>
    <row r="184" spans="3:19" s="19" customFormat="1" ht="18.600000000000001" thickBot="1">
      <c r="C184" s="259"/>
      <c r="D184" s="260"/>
      <c r="E184" s="261"/>
      <c r="F184" s="262"/>
      <c r="G184" s="260"/>
      <c r="H184" s="263"/>
      <c r="I184" s="263"/>
      <c r="J184" s="264"/>
      <c r="K184" s="265"/>
      <c r="L184" s="266"/>
      <c r="M184" s="267"/>
      <c r="N184" s="266"/>
      <c r="O184" s="226">
        <f t="shared" si="4"/>
        <v>0</v>
      </c>
      <c r="P184" s="249">
        <f t="shared" si="5"/>
        <v>0</v>
      </c>
      <c r="Q184" s="228"/>
      <c r="R184" s="250"/>
      <c r="S184" s="27"/>
    </row>
    <row r="185" spans="3:19" s="19" customFormat="1" ht="18.600000000000001" thickBot="1">
      <c r="C185" s="259"/>
      <c r="D185" s="260"/>
      <c r="E185" s="261"/>
      <c r="F185" s="262"/>
      <c r="G185" s="260"/>
      <c r="H185" s="263"/>
      <c r="I185" s="263"/>
      <c r="J185" s="264"/>
      <c r="K185" s="265"/>
      <c r="L185" s="266"/>
      <c r="M185" s="267"/>
      <c r="N185" s="266"/>
      <c r="O185" s="226">
        <f t="shared" si="4"/>
        <v>0</v>
      </c>
      <c r="P185" s="249">
        <f t="shared" si="5"/>
        <v>0</v>
      </c>
      <c r="Q185" s="228"/>
      <c r="R185" s="250"/>
      <c r="S185" s="27"/>
    </row>
    <row r="186" spans="3:19" s="19" customFormat="1" ht="18.600000000000001" thickBot="1">
      <c r="C186" s="259"/>
      <c r="D186" s="260"/>
      <c r="E186" s="261"/>
      <c r="F186" s="262"/>
      <c r="G186" s="260"/>
      <c r="H186" s="263"/>
      <c r="I186" s="263"/>
      <c r="J186" s="264"/>
      <c r="K186" s="265"/>
      <c r="L186" s="266"/>
      <c r="M186" s="267"/>
      <c r="N186" s="266"/>
      <c r="O186" s="226">
        <f t="shared" si="4"/>
        <v>0</v>
      </c>
      <c r="P186" s="249">
        <f t="shared" si="5"/>
        <v>0</v>
      </c>
      <c r="Q186" s="228"/>
      <c r="R186" s="250"/>
      <c r="S186" s="27"/>
    </row>
    <row r="187" spans="3:19" s="19" customFormat="1" ht="18.600000000000001" thickBot="1">
      <c r="C187" s="259"/>
      <c r="D187" s="260"/>
      <c r="E187" s="261"/>
      <c r="F187" s="262"/>
      <c r="G187" s="260"/>
      <c r="H187" s="263"/>
      <c r="I187" s="263"/>
      <c r="J187" s="264"/>
      <c r="K187" s="265"/>
      <c r="L187" s="266"/>
      <c r="M187" s="267"/>
      <c r="N187" s="266"/>
      <c r="O187" s="226">
        <f t="shared" si="4"/>
        <v>0</v>
      </c>
      <c r="P187" s="249">
        <f t="shared" si="5"/>
        <v>0</v>
      </c>
      <c r="Q187" s="228"/>
      <c r="R187" s="250"/>
      <c r="S187" s="27"/>
    </row>
    <row r="188" spans="3:19" s="19" customFormat="1" ht="18.600000000000001" thickBot="1">
      <c r="C188" s="259"/>
      <c r="D188" s="260"/>
      <c r="E188" s="261"/>
      <c r="F188" s="262"/>
      <c r="G188" s="260"/>
      <c r="H188" s="263"/>
      <c r="I188" s="263"/>
      <c r="J188" s="264"/>
      <c r="K188" s="265"/>
      <c r="L188" s="266"/>
      <c r="M188" s="267"/>
      <c r="N188" s="266"/>
      <c r="O188" s="226">
        <f t="shared" si="4"/>
        <v>0</v>
      </c>
      <c r="P188" s="249">
        <f t="shared" si="5"/>
        <v>0</v>
      </c>
      <c r="Q188" s="228"/>
      <c r="R188" s="250"/>
      <c r="S188" s="27"/>
    </row>
    <row r="189" spans="3:19" s="19" customFormat="1" ht="18.600000000000001" thickBot="1">
      <c r="C189" s="259"/>
      <c r="D189" s="260"/>
      <c r="E189" s="261"/>
      <c r="F189" s="262"/>
      <c r="G189" s="260"/>
      <c r="H189" s="263"/>
      <c r="I189" s="263"/>
      <c r="J189" s="264"/>
      <c r="K189" s="265"/>
      <c r="L189" s="266"/>
      <c r="M189" s="267"/>
      <c r="N189" s="266"/>
      <c r="O189" s="226">
        <f t="shared" si="4"/>
        <v>0</v>
      </c>
      <c r="P189" s="249">
        <f t="shared" si="5"/>
        <v>0</v>
      </c>
      <c r="Q189" s="228"/>
      <c r="R189" s="250"/>
      <c r="S189" s="27"/>
    </row>
    <row r="190" spans="3:19" s="19" customFormat="1" ht="18.600000000000001" thickBot="1">
      <c r="C190" s="259"/>
      <c r="D190" s="260"/>
      <c r="E190" s="261"/>
      <c r="F190" s="262"/>
      <c r="G190" s="260"/>
      <c r="H190" s="263"/>
      <c r="I190" s="263"/>
      <c r="J190" s="264"/>
      <c r="K190" s="265"/>
      <c r="L190" s="266"/>
      <c r="M190" s="267"/>
      <c r="N190" s="266"/>
      <c r="O190" s="226">
        <f t="shared" si="4"/>
        <v>0</v>
      </c>
      <c r="P190" s="249">
        <f t="shared" si="5"/>
        <v>0</v>
      </c>
      <c r="Q190" s="228"/>
      <c r="R190" s="250"/>
      <c r="S190" s="27"/>
    </row>
    <row r="191" spans="3:19" s="19" customFormat="1" ht="18.600000000000001" thickBot="1">
      <c r="C191" s="259"/>
      <c r="D191" s="260"/>
      <c r="E191" s="261"/>
      <c r="F191" s="262"/>
      <c r="G191" s="260"/>
      <c r="H191" s="263"/>
      <c r="I191" s="263"/>
      <c r="J191" s="264"/>
      <c r="K191" s="265"/>
      <c r="L191" s="266"/>
      <c r="M191" s="267"/>
      <c r="N191" s="266"/>
      <c r="O191" s="226">
        <f t="shared" si="4"/>
        <v>0</v>
      </c>
      <c r="P191" s="249">
        <f t="shared" si="5"/>
        <v>0</v>
      </c>
      <c r="Q191" s="228"/>
      <c r="R191" s="250"/>
      <c r="S191" s="27"/>
    </row>
    <row r="192" spans="3:19" s="19" customFormat="1" ht="18.600000000000001" thickBot="1">
      <c r="C192" s="259"/>
      <c r="D192" s="260"/>
      <c r="E192" s="261"/>
      <c r="F192" s="262"/>
      <c r="G192" s="260"/>
      <c r="H192" s="263"/>
      <c r="I192" s="263"/>
      <c r="J192" s="264"/>
      <c r="K192" s="265"/>
      <c r="L192" s="266"/>
      <c r="M192" s="267"/>
      <c r="N192" s="266"/>
      <c r="O192" s="226">
        <f t="shared" si="4"/>
        <v>0</v>
      </c>
      <c r="P192" s="249">
        <f t="shared" si="5"/>
        <v>0</v>
      </c>
      <c r="Q192" s="228"/>
      <c r="R192" s="250"/>
      <c r="S192" s="27"/>
    </row>
    <row r="193" spans="3:19" s="19" customFormat="1" ht="18.600000000000001" thickBot="1">
      <c r="C193" s="259"/>
      <c r="D193" s="260"/>
      <c r="E193" s="261"/>
      <c r="F193" s="262"/>
      <c r="G193" s="260"/>
      <c r="H193" s="263"/>
      <c r="I193" s="263"/>
      <c r="J193" s="264"/>
      <c r="K193" s="265"/>
      <c r="L193" s="266"/>
      <c r="M193" s="267"/>
      <c r="N193" s="266"/>
      <c r="O193" s="226">
        <f t="shared" si="4"/>
        <v>0</v>
      </c>
      <c r="P193" s="249">
        <f t="shared" si="5"/>
        <v>0</v>
      </c>
      <c r="Q193" s="228"/>
      <c r="R193" s="250"/>
      <c r="S193" s="27"/>
    </row>
    <row r="194" spans="3:19" s="19" customFormat="1" ht="18.600000000000001" thickBot="1">
      <c r="C194" s="259"/>
      <c r="D194" s="260"/>
      <c r="E194" s="261"/>
      <c r="F194" s="262"/>
      <c r="G194" s="260"/>
      <c r="H194" s="263"/>
      <c r="I194" s="263"/>
      <c r="J194" s="264"/>
      <c r="K194" s="265"/>
      <c r="L194" s="266"/>
      <c r="M194" s="267"/>
      <c r="N194" s="266"/>
      <c r="O194" s="226">
        <f t="shared" si="4"/>
        <v>0</v>
      </c>
      <c r="P194" s="249">
        <f t="shared" si="5"/>
        <v>0</v>
      </c>
      <c r="Q194" s="228"/>
      <c r="R194" s="250"/>
      <c r="S194" s="27"/>
    </row>
    <row r="195" spans="3:19" s="19" customFormat="1" ht="18.600000000000001" thickBot="1">
      <c r="C195" s="259"/>
      <c r="D195" s="260"/>
      <c r="E195" s="261"/>
      <c r="F195" s="262"/>
      <c r="G195" s="260"/>
      <c r="H195" s="263"/>
      <c r="I195" s="263"/>
      <c r="J195" s="264"/>
      <c r="K195" s="265"/>
      <c r="L195" s="266"/>
      <c r="M195" s="267"/>
      <c r="N195" s="266"/>
      <c r="O195" s="226">
        <f t="shared" si="4"/>
        <v>0</v>
      </c>
      <c r="P195" s="249">
        <f t="shared" si="5"/>
        <v>0</v>
      </c>
      <c r="Q195" s="228"/>
      <c r="R195" s="250"/>
      <c r="S195" s="27"/>
    </row>
    <row r="196" spans="3:19" s="19" customFormat="1" ht="18.600000000000001" thickBot="1">
      <c r="C196" s="259"/>
      <c r="D196" s="260"/>
      <c r="E196" s="261"/>
      <c r="F196" s="262"/>
      <c r="G196" s="260"/>
      <c r="H196" s="263"/>
      <c r="I196" s="263"/>
      <c r="J196" s="264"/>
      <c r="K196" s="265"/>
      <c r="L196" s="266"/>
      <c r="M196" s="267"/>
      <c r="N196" s="266"/>
      <c r="O196" s="226">
        <f t="shared" si="4"/>
        <v>0</v>
      </c>
      <c r="P196" s="249">
        <f t="shared" si="5"/>
        <v>0</v>
      </c>
      <c r="Q196" s="228"/>
      <c r="R196" s="250"/>
      <c r="S196" s="27"/>
    </row>
    <row r="197" spans="3:19" s="19" customFormat="1" ht="18.600000000000001" thickBot="1">
      <c r="C197" s="259"/>
      <c r="D197" s="260"/>
      <c r="E197" s="261"/>
      <c r="F197" s="262"/>
      <c r="G197" s="260"/>
      <c r="H197" s="263"/>
      <c r="I197" s="263"/>
      <c r="J197" s="264"/>
      <c r="K197" s="265"/>
      <c r="L197" s="266"/>
      <c r="M197" s="267"/>
      <c r="N197" s="266"/>
      <c r="O197" s="226">
        <f t="shared" si="4"/>
        <v>0</v>
      </c>
      <c r="P197" s="249">
        <f t="shared" si="5"/>
        <v>0</v>
      </c>
      <c r="Q197" s="228"/>
      <c r="R197" s="250"/>
      <c r="S197" s="27"/>
    </row>
    <row r="198" spans="3:19" s="19" customFormat="1" ht="18.600000000000001" thickBot="1">
      <c r="C198" s="259"/>
      <c r="D198" s="260"/>
      <c r="E198" s="261"/>
      <c r="F198" s="262"/>
      <c r="G198" s="260"/>
      <c r="H198" s="263"/>
      <c r="I198" s="263"/>
      <c r="J198" s="264"/>
      <c r="K198" s="265"/>
      <c r="L198" s="266"/>
      <c r="M198" s="267"/>
      <c r="N198" s="266"/>
      <c r="O198" s="226">
        <f t="shared" si="4"/>
        <v>0</v>
      </c>
      <c r="P198" s="249">
        <f t="shared" si="5"/>
        <v>0</v>
      </c>
      <c r="Q198" s="228"/>
      <c r="R198" s="250"/>
      <c r="S198" s="27"/>
    </row>
    <row r="199" spans="3:19" s="19" customFormat="1" ht="18.600000000000001" thickBot="1">
      <c r="C199" s="259"/>
      <c r="D199" s="260"/>
      <c r="E199" s="261"/>
      <c r="F199" s="262"/>
      <c r="G199" s="260"/>
      <c r="H199" s="263"/>
      <c r="I199" s="263"/>
      <c r="J199" s="264"/>
      <c r="K199" s="265"/>
      <c r="L199" s="266"/>
      <c r="M199" s="267"/>
      <c r="N199" s="266"/>
      <c r="O199" s="226">
        <f t="shared" si="4"/>
        <v>0</v>
      </c>
      <c r="P199" s="249">
        <f t="shared" si="5"/>
        <v>0</v>
      </c>
      <c r="Q199" s="228"/>
      <c r="R199" s="250"/>
      <c r="S199" s="27"/>
    </row>
    <row r="200" spans="3:19" s="19" customFormat="1" ht="18.600000000000001" thickBot="1">
      <c r="C200" s="268"/>
      <c r="D200" s="269"/>
      <c r="E200" s="270"/>
      <c r="F200" s="271"/>
      <c r="G200" s="269"/>
      <c r="H200" s="272"/>
      <c r="I200" s="272"/>
      <c r="J200" s="273"/>
      <c r="K200" s="274"/>
      <c r="L200" s="275"/>
      <c r="M200" s="276"/>
      <c r="N200" s="275"/>
      <c r="O200" s="226">
        <f t="shared" si="4"/>
        <v>0</v>
      </c>
      <c r="P200" s="249">
        <f t="shared" si="5"/>
        <v>0</v>
      </c>
      <c r="Q200" s="228"/>
      <c r="R200" s="277"/>
      <c r="S200" s="27"/>
    </row>
    <row r="201" spans="3:19" s="12" customFormat="1" ht="18.600000000000001" thickBot="1">
      <c r="C201" s="289"/>
      <c r="D201" s="289"/>
      <c r="E201" s="289"/>
      <c r="F201" s="289"/>
      <c r="G201" s="290"/>
      <c r="H201" s="289"/>
      <c r="I201" s="289"/>
      <c r="J201" s="289"/>
      <c r="K201" s="289"/>
      <c r="L201" s="289"/>
      <c r="M201" s="289"/>
      <c r="N201" s="289"/>
      <c r="O201" s="290"/>
      <c r="P201" s="290"/>
      <c r="Q201" s="290"/>
      <c r="R201" s="289"/>
      <c r="S201" s="25"/>
    </row>
    <row r="202" spans="3:19" s="3" customFormat="1" ht="37.200000000000003" thickBot="1">
      <c r="C202" s="281" t="s">
        <v>66</v>
      </c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3"/>
      <c r="S202" s="24"/>
    </row>
    <row r="203" spans="3:19" ht="13.8">
      <c r="C203" s="284"/>
      <c r="D203" s="285"/>
      <c r="E203" s="285"/>
      <c r="F203" s="285"/>
      <c r="G203" s="291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79"/>
      <c r="S203" s="23"/>
    </row>
    <row r="204" spans="3:19" s="12" customFormat="1" ht="68.25" customHeight="1" thickBot="1">
      <c r="C204" s="286" t="s">
        <v>60</v>
      </c>
      <c r="D204" s="286" t="s">
        <v>61</v>
      </c>
      <c r="E204" s="286" t="s">
        <v>62</v>
      </c>
      <c r="F204" s="286" t="s">
        <v>35</v>
      </c>
      <c r="G204" s="286" t="s">
        <v>36</v>
      </c>
      <c r="H204" s="286" t="s">
        <v>37</v>
      </c>
      <c r="I204" s="286" t="s">
        <v>38</v>
      </c>
      <c r="J204" s="286" t="s">
        <v>39</v>
      </c>
      <c r="K204" s="286" t="s">
        <v>40</v>
      </c>
      <c r="L204" s="286" t="s">
        <v>41</v>
      </c>
      <c r="M204" s="286" t="s">
        <v>63</v>
      </c>
      <c r="N204" s="286" t="s">
        <v>64</v>
      </c>
      <c r="O204" s="286" t="s">
        <v>65</v>
      </c>
      <c r="P204" s="287" t="s">
        <v>42</v>
      </c>
      <c r="Q204" s="287" t="s">
        <v>145</v>
      </c>
      <c r="R204" s="278"/>
      <c r="S204" s="25"/>
    </row>
    <row r="205" spans="3:19" ht="18.600000000000001" thickBot="1">
      <c r="C205" s="216"/>
      <c r="D205" s="217"/>
      <c r="E205" s="218"/>
      <c r="F205" s="219"/>
      <c r="G205" s="220"/>
      <c r="H205" s="218"/>
      <c r="I205" s="221"/>
      <c r="J205" s="221"/>
      <c r="K205" s="222"/>
      <c r="L205" s="223"/>
      <c r="M205" s="224"/>
      <c r="N205" s="225"/>
      <c r="O205" s="226">
        <f>M205*(1+N205)</f>
        <v>0</v>
      </c>
      <c r="P205" s="227">
        <f>IF(OR(K205&lt;&gt;0, K205&lt;&gt;""), (K205+L205)*O205, O205*(J205+L205))</f>
        <v>0</v>
      </c>
      <c r="Q205" s="228" t="str">
        <f>IF(C205&lt;&gt;"",TRUE,"")</f>
        <v/>
      </c>
      <c r="R205" s="279"/>
    </row>
    <row r="206" spans="3:19" ht="18.600000000000001" thickBot="1">
      <c r="C206" s="216"/>
      <c r="D206" s="217"/>
      <c r="E206" s="218"/>
      <c r="F206" s="229"/>
      <c r="G206" s="220"/>
      <c r="H206" s="218"/>
      <c r="I206" s="221"/>
      <c r="J206" s="221"/>
      <c r="K206" s="222"/>
      <c r="L206" s="223"/>
      <c r="M206" s="224"/>
      <c r="N206" s="225"/>
      <c r="O206" s="226">
        <f t="shared" ref="O206:O220" si="6">M206*(1+N206)</f>
        <v>0</v>
      </c>
      <c r="P206" s="227">
        <f t="shared" ref="P206:P220" si="7">IF(OR(K206&lt;&gt;0, K206&lt;&gt;""), (K206+L206)*O206, O206*(J206+L206))</f>
        <v>0</v>
      </c>
      <c r="Q206" s="228" t="str">
        <f t="shared" ref="Q206:Q220" si="8">IF(C206&lt;&gt;"",TRUE,"")</f>
        <v/>
      </c>
      <c r="R206" s="279"/>
    </row>
    <row r="207" spans="3:19" ht="18.600000000000001" thickBot="1">
      <c r="C207" s="216"/>
      <c r="D207" s="217"/>
      <c r="E207" s="218"/>
      <c r="F207" s="219"/>
      <c r="G207" s="220"/>
      <c r="H207" s="229"/>
      <c r="I207" s="230"/>
      <c r="J207" s="230"/>
      <c r="K207" s="222"/>
      <c r="L207" s="223"/>
      <c r="M207" s="224"/>
      <c r="N207" s="225"/>
      <c r="O207" s="226">
        <f t="shared" si="6"/>
        <v>0</v>
      </c>
      <c r="P207" s="227">
        <f t="shared" si="7"/>
        <v>0</v>
      </c>
      <c r="Q207" s="228" t="str">
        <f t="shared" si="8"/>
        <v/>
      </c>
      <c r="R207" s="279"/>
    </row>
    <row r="208" spans="3:19" ht="18.600000000000001" thickBot="1">
      <c r="C208" s="216"/>
      <c r="D208" s="217"/>
      <c r="E208" s="219"/>
      <c r="F208" s="219"/>
      <c r="G208" s="219"/>
      <c r="H208" s="219"/>
      <c r="I208" s="219"/>
      <c r="J208" s="219"/>
      <c r="K208" s="222"/>
      <c r="L208" s="223"/>
      <c r="M208" s="224"/>
      <c r="N208" s="225"/>
      <c r="O208" s="226">
        <f t="shared" si="6"/>
        <v>0</v>
      </c>
      <c r="P208" s="227">
        <f t="shared" si="7"/>
        <v>0</v>
      </c>
      <c r="Q208" s="228" t="str">
        <f t="shared" si="8"/>
        <v/>
      </c>
      <c r="R208" s="279"/>
    </row>
    <row r="209" spans="3:18" ht="18.600000000000001" thickBot="1">
      <c r="C209" s="231"/>
      <c r="D209" s="232"/>
      <c r="E209" s="233"/>
      <c r="F209" s="233"/>
      <c r="G209" s="233"/>
      <c r="H209" s="233"/>
      <c r="I209" s="233"/>
      <c r="J209" s="233"/>
      <c r="K209" s="222"/>
      <c r="L209" s="223"/>
      <c r="M209" s="224"/>
      <c r="N209" s="225"/>
      <c r="O209" s="226">
        <f t="shared" si="6"/>
        <v>0</v>
      </c>
      <c r="P209" s="227">
        <f t="shared" si="7"/>
        <v>0</v>
      </c>
      <c r="Q209" s="228" t="str">
        <f t="shared" si="8"/>
        <v/>
      </c>
      <c r="R209" s="279"/>
    </row>
    <row r="210" spans="3:18" ht="18.600000000000001" thickBot="1">
      <c r="C210" s="231"/>
      <c r="D210" s="232"/>
      <c r="E210" s="229"/>
      <c r="F210" s="219"/>
      <c r="G210" s="220"/>
      <c r="H210" s="229"/>
      <c r="I210" s="230"/>
      <c r="J210" s="230"/>
      <c r="K210" s="222"/>
      <c r="L210" s="223"/>
      <c r="M210" s="224"/>
      <c r="N210" s="225"/>
      <c r="O210" s="226">
        <f t="shared" si="6"/>
        <v>0</v>
      </c>
      <c r="P210" s="227">
        <f t="shared" si="7"/>
        <v>0</v>
      </c>
      <c r="Q210" s="228" t="str">
        <f t="shared" si="8"/>
        <v/>
      </c>
      <c r="R210" s="279"/>
    </row>
    <row r="211" spans="3:18" ht="18.600000000000001" thickBot="1">
      <c r="C211" s="234"/>
      <c r="D211" s="235"/>
      <c r="E211" s="236"/>
      <c r="F211" s="237"/>
      <c r="G211" s="238"/>
      <c r="H211" s="236"/>
      <c r="I211" s="239"/>
      <c r="J211" s="239"/>
      <c r="K211" s="222"/>
      <c r="L211" s="223"/>
      <c r="M211" s="224"/>
      <c r="N211" s="225"/>
      <c r="O211" s="226">
        <f t="shared" si="6"/>
        <v>0</v>
      </c>
      <c r="P211" s="227">
        <f t="shared" si="7"/>
        <v>0</v>
      </c>
      <c r="Q211" s="228" t="str">
        <f t="shared" si="8"/>
        <v/>
      </c>
      <c r="R211" s="279"/>
    </row>
    <row r="212" spans="3:18" ht="18.600000000000001" thickBot="1">
      <c r="C212" s="234"/>
      <c r="D212" s="235"/>
      <c r="E212" s="236"/>
      <c r="F212" s="237"/>
      <c r="G212" s="238"/>
      <c r="H212" s="236"/>
      <c r="I212" s="239"/>
      <c r="J212" s="239"/>
      <c r="K212" s="222"/>
      <c r="L212" s="223"/>
      <c r="M212" s="224"/>
      <c r="N212" s="225"/>
      <c r="O212" s="226">
        <f t="shared" si="6"/>
        <v>0</v>
      </c>
      <c r="P212" s="227">
        <f t="shared" si="7"/>
        <v>0</v>
      </c>
      <c r="Q212" s="228" t="str">
        <f t="shared" si="8"/>
        <v/>
      </c>
      <c r="R212" s="279"/>
    </row>
    <row r="213" spans="3:18" ht="18.600000000000001" thickBot="1">
      <c r="C213" s="234"/>
      <c r="D213" s="235"/>
      <c r="E213" s="236"/>
      <c r="F213" s="237"/>
      <c r="G213" s="238"/>
      <c r="H213" s="236"/>
      <c r="I213" s="239"/>
      <c r="J213" s="239"/>
      <c r="K213" s="222"/>
      <c r="L213" s="223"/>
      <c r="M213" s="224"/>
      <c r="N213" s="225"/>
      <c r="O213" s="226">
        <f t="shared" si="6"/>
        <v>0</v>
      </c>
      <c r="P213" s="227">
        <f t="shared" si="7"/>
        <v>0</v>
      </c>
      <c r="Q213" s="228" t="str">
        <f t="shared" si="8"/>
        <v/>
      </c>
      <c r="R213" s="279"/>
    </row>
    <row r="214" spans="3:18" ht="18.600000000000001" thickBot="1">
      <c r="C214" s="234"/>
      <c r="D214" s="235"/>
      <c r="E214" s="236"/>
      <c r="F214" s="237"/>
      <c r="G214" s="238"/>
      <c r="H214" s="236"/>
      <c r="I214" s="239"/>
      <c r="J214" s="239"/>
      <c r="K214" s="222"/>
      <c r="L214" s="223"/>
      <c r="M214" s="224"/>
      <c r="N214" s="225"/>
      <c r="O214" s="226">
        <f t="shared" si="6"/>
        <v>0</v>
      </c>
      <c r="P214" s="227">
        <f t="shared" si="7"/>
        <v>0</v>
      </c>
      <c r="Q214" s="228" t="str">
        <f t="shared" si="8"/>
        <v/>
      </c>
      <c r="R214" s="279"/>
    </row>
    <row r="215" spans="3:18" ht="18.600000000000001" thickBot="1">
      <c r="C215" s="234"/>
      <c r="D215" s="235"/>
      <c r="E215" s="236"/>
      <c r="F215" s="237"/>
      <c r="G215" s="238"/>
      <c r="H215" s="236"/>
      <c r="I215" s="239"/>
      <c r="J215" s="239"/>
      <c r="K215" s="222"/>
      <c r="L215" s="223"/>
      <c r="M215" s="224"/>
      <c r="N215" s="225"/>
      <c r="O215" s="226">
        <f t="shared" si="6"/>
        <v>0</v>
      </c>
      <c r="P215" s="227">
        <f t="shared" si="7"/>
        <v>0</v>
      </c>
      <c r="Q215" s="228" t="str">
        <f t="shared" si="8"/>
        <v/>
      </c>
      <c r="R215" s="279"/>
    </row>
    <row r="216" spans="3:18" ht="18.600000000000001" thickBot="1">
      <c r="C216" s="234"/>
      <c r="D216" s="235"/>
      <c r="E216" s="236"/>
      <c r="F216" s="237"/>
      <c r="G216" s="238"/>
      <c r="H216" s="236"/>
      <c r="I216" s="239"/>
      <c r="J216" s="239"/>
      <c r="K216" s="222"/>
      <c r="L216" s="223"/>
      <c r="M216" s="224"/>
      <c r="N216" s="225"/>
      <c r="O216" s="226">
        <f t="shared" si="6"/>
        <v>0</v>
      </c>
      <c r="P216" s="227">
        <f t="shared" si="7"/>
        <v>0</v>
      </c>
      <c r="Q216" s="228" t="str">
        <f t="shared" si="8"/>
        <v/>
      </c>
      <c r="R216" s="279"/>
    </row>
    <row r="217" spans="3:18" ht="18.600000000000001" thickBot="1">
      <c r="C217" s="234"/>
      <c r="D217" s="235"/>
      <c r="E217" s="236"/>
      <c r="F217" s="237"/>
      <c r="G217" s="238"/>
      <c r="H217" s="236"/>
      <c r="I217" s="239"/>
      <c r="J217" s="239"/>
      <c r="K217" s="222"/>
      <c r="L217" s="223"/>
      <c r="M217" s="224"/>
      <c r="N217" s="225"/>
      <c r="O217" s="226">
        <f t="shared" si="6"/>
        <v>0</v>
      </c>
      <c r="P217" s="227">
        <f t="shared" si="7"/>
        <v>0</v>
      </c>
      <c r="Q217" s="228" t="str">
        <f t="shared" si="8"/>
        <v/>
      </c>
      <c r="R217" s="279"/>
    </row>
    <row r="218" spans="3:18" ht="18.600000000000001" thickBot="1">
      <c r="C218" s="234"/>
      <c r="D218" s="235"/>
      <c r="E218" s="236"/>
      <c r="F218" s="237"/>
      <c r="G218" s="238"/>
      <c r="H218" s="236"/>
      <c r="I218" s="239"/>
      <c r="J218" s="239"/>
      <c r="K218" s="222"/>
      <c r="L218" s="223"/>
      <c r="M218" s="224"/>
      <c r="N218" s="225"/>
      <c r="O218" s="226">
        <f t="shared" si="6"/>
        <v>0</v>
      </c>
      <c r="P218" s="227">
        <f t="shared" si="7"/>
        <v>0</v>
      </c>
      <c r="Q218" s="228" t="str">
        <f t="shared" si="8"/>
        <v/>
      </c>
      <c r="R218" s="279"/>
    </row>
    <row r="219" spans="3:18" ht="18.600000000000001" thickBot="1">
      <c r="C219" s="234"/>
      <c r="D219" s="235"/>
      <c r="E219" s="236"/>
      <c r="F219" s="237"/>
      <c r="G219" s="238"/>
      <c r="H219" s="236"/>
      <c r="I219" s="239"/>
      <c r="J219" s="239"/>
      <c r="K219" s="222"/>
      <c r="L219" s="223"/>
      <c r="M219" s="224"/>
      <c r="N219" s="225"/>
      <c r="O219" s="226">
        <f t="shared" si="6"/>
        <v>0</v>
      </c>
      <c r="P219" s="227">
        <f t="shared" si="7"/>
        <v>0</v>
      </c>
      <c r="Q219" s="228" t="str">
        <f t="shared" si="8"/>
        <v/>
      </c>
      <c r="R219" s="279"/>
    </row>
    <row r="220" spans="3:18" ht="18.600000000000001" thickBot="1">
      <c r="C220" s="234"/>
      <c r="D220" s="235"/>
      <c r="E220" s="236"/>
      <c r="F220" s="237"/>
      <c r="G220" s="238"/>
      <c r="H220" s="236"/>
      <c r="I220" s="239"/>
      <c r="J220" s="239"/>
      <c r="K220" s="222"/>
      <c r="L220" s="223"/>
      <c r="M220" s="224"/>
      <c r="N220" s="225"/>
      <c r="O220" s="226">
        <f t="shared" si="6"/>
        <v>0</v>
      </c>
      <c r="P220" s="227">
        <f t="shared" si="7"/>
        <v>0</v>
      </c>
      <c r="Q220" s="228" t="str">
        <f t="shared" si="8"/>
        <v/>
      </c>
      <c r="R220" s="280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0" t="s">
        <v>60</v>
      </c>
      <c r="B1" s="20" t="s">
        <v>8</v>
      </c>
      <c r="C1" s="102" t="s">
        <v>0</v>
      </c>
      <c r="D1" s="100" t="s">
        <v>12</v>
      </c>
      <c r="E1" s="103" t="s">
        <v>14</v>
      </c>
      <c r="F1" s="103" t="s">
        <v>140</v>
      </c>
    </row>
    <row r="2" spans="1:6" ht="15.6">
      <c r="A2" s="21" t="s">
        <v>67</v>
      </c>
      <c r="B2" s="99" t="s">
        <v>139</v>
      </c>
      <c r="C2" s="101" t="s">
        <v>2</v>
      </c>
      <c r="D2" s="99" t="s">
        <v>142</v>
      </c>
      <c r="E2" s="195"/>
      <c r="F2" s="197" t="s">
        <v>141</v>
      </c>
    </row>
    <row r="3" spans="1:6" ht="15.6">
      <c r="A3" s="21" t="s">
        <v>68</v>
      </c>
      <c r="B3" s="99"/>
      <c r="C3" s="101" t="s">
        <v>3</v>
      </c>
      <c r="D3" s="99"/>
      <c r="E3" s="195"/>
      <c r="F3" s="197"/>
    </row>
    <row r="4" spans="1:6" ht="15.6">
      <c r="A4" s="21" t="s">
        <v>69</v>
      </c>
      <c r="B4" s="99"/>
      <c r="C4" s="101" t="s">
        <v>4</v>
      </c>
      <c r="D4" s="99"/>
      <c r="E4" s="195"/>
      <c r="F4" s="197"/>
    </row>
    <row r="5" spans="1:6" ht="15.6">
      <c r="A5" s="21" t="s">
        <v>70</v>
      </c>
      <c r="B5" s="99"/>
      <c r="C5" s="101" t="s">
        <v>5</v>
      </c>
      <c r="D5" s="99"/>
      <c r="E5" s="195"/>
      <c r="F5" s="197"/>
    </row>
    <row r="6" spans="1:6" ht="15.6">
      <c r="A6" s="21" t="s">
        <v>71</v>
      </c>
      <c r="B6" s="99"/>
      <c r="C6" s="101" t="s">
        <v>6</v>
      </c>
      <c r="D6" s="99"/>
      <c r="E6" s="195"/>
      <c r="F6" s="197"/>
    </row>
    <row r="7" spans="1:6" ht="15.6">
      <c r="A7" s="21" t="s">
        <v>72</v>
      </c>
      <c r="B7" s="99"/>
      <c r="C7" s="101" t="s">
        <v>7</v>
      </c>
      <c r="D7" s="99"/>
      <c r="E7" s="195"/>
      <c r="F7" s="197"/>
    </row>
    <row r="8" spans="1:6" ht="15.6">
      <c r="A8" s="21" t="s">
        <v>1</v>
      </c>
      <c r="B8" s="21"/>
      <c r="C8" s="21"/>
      <c r="D8" s="21"/>
      <c r="E8" s="196"/>
      <c r="F8" s="197"/>
    </row>
    <row r="9" spans="1:6" ht="15.6">
      <c r="A9" s="21"/>
      <c r="B9" s="21"/>
      <c r="C9" s="21"/>
      <c r="D9" s="21"/>
      <c r="E9" s="196"/>
      <c r="F9" s="197"/>
    </row>
    <row r="10" spans="1:6" ht="15.6">
      <c r="A10" s="21"/>
      <c r="B10" s="21"/>
      <c r="C10" s="21"/>
      <c r="D10" s="21"/>
      <c r="E10" s="196"/>
      <c r="F10" s="197"/>
    </row>
    <row r="11" spans="1:6" ht="15.6">
      <c r="A11" s="21"/>
      <c r="B11" s="21"/>
      <c r="C11" s="21"/>
      <c r="D11" s="21"/>
      <c r="E11" s="196"/>
      <c r="F11" s="197"/>
    </row>
    <row r="12" spans="1:6" ht="15.6">
      <c r="A12" s="21"/>
      <c r="B12" s="21"/>
      <c r="C12" s="21"/>
      <c r="D12" s="21"/>
      <c r="E12" s="196"/>
      <c r="F12" s="197"/>
    </row>
    <row r="13" spans="1:6" ht="15.6">
      <c r="A13" s="21"/>
      <c r="B13" s="21"/>
      <c r="C13" s="21"/>
      <c r="D13" s="21"/>
      <c r="E13" s="196"/>
      <c r="F13" s="197"/>
    </row>
    <row r="14" spans="1:6" ht="15.6">
      <c r="A14" s="21"/>
      <c r="B14" s="21"/>
      <c r="C14" s="21"/>
      <c r="D14" s="21"/>
      <c r="E14" s="196"/>
      <c r="F14" s="197"/>
    </row>
    <row r="15" spans="1:6" ht="15.6">
      <c r="A15" s="21"/>
      <c r="B15" s="21"/>
      <c r="C15" s="21"/>
      <c r="D15" s="21"/>
      <c r="E15" s="196"/>
      <c r="F15" s="197"/>
    </row>
    <row r="16" spans="1:6" ht="15.6">
      <c r="A16" s="21"/>
      <c r="B16" s="21"/>
      <c r="C16" s="21"/>
      <c r="D16" s="21"/>
      <c r="E16" s="196"/>
      <c r="F16" s="197"/>
    </row>
    <row r="17" spans="1:6" ht="15.6">
      <c r="A17" s="21"/>
      <c r="B17" s="21"/>
      <c r="C17" s="21"/>
      <c r="D17" s="21"/>
      <c r="E17" s="196"/>
      <c r="F17" s="197"/>
    </row>
    <row r="18" spans="1:6" ht="15.6">
      <c r="A18" s="21"/>
      <c r="B18" s="21"/>
      <c r="C18" s="21"/>
      <c r="D18" s="21"/>
      <c r="E18" s="196"/>
      <c r="F18" s="197"/>
    </row>
    <row r="19" spans="1:6" ht="15.6">
      <c r="A19" s="21"/>
      <c r="B19" s="21"/>
      <c r="C19" s="21"/>
      <c r="D19" s="21"/>
      <c r="E19" s="196"/>
      <c r="F19" s="197"/>
    </row>
    <row r="20" spans="1:6" ht="15.6">
      <c r="A20" s="21"/>
      <c r="B20" s="21"/>
      <c r="C20" s="21"/>
      <c r="D20" s="21"/>
      <c r="E20" s="196"/>
      <c r="F20" s="197"/>
    </row>
    <row r="21" spans="1:6" ht="15.6">
      <c r="A21" s="21"/>
      <c r="B21" s="21"/>
      <c r="C21" s="21"/>
      <c r="D21" s="21"/>
      <c r="E21" s="196"/>
      <c r="F21" s="197"/>
    </row>
    <row r="22" spans="1:6" ht="15.6">
      <c r="A22" s="21"/>
      <c r="B22" s="21"/>
      <c r="C22" s="21"/>
      <c r="D22" s="21"/>
      <c r="E22" s="196"/>
      <c r="F22" s="197"/>
    </row>
    <row r="23" spans="1:6" ht="15.6">
      <c r="A23" s="21"/>
      <c r="B23" s="21"/>
      <c r="C23" s="21"/>
      <c r="D23" s="21"/>
      <c r="E23" s="196"/>
      <c r="F23" s="197"/>
    </row>
    <row r="24" spans="1:6" ht="15.6">
      <c r="A24" s="21"/>
      <c r="B24" s="21"/>
      <c r="C24" s="21"/>
      <c r="D24" s="21"/>
      <c r="E24" s="196"/>
      <c r="F24" s="197"/>
    </row>
    <row r="25" spans="1:6" ht="15.6">
      <c r="A25" s="21"/>
      <c r="B25" s="21"/>
      <c r="C25" s="21"/>
      <c r="D25" s="21"/>
      <c r="E25" s="196"/>
      <c r="F25" s="197"/>
    </row>
    <row r="26" spans="1:6" ht="15.6">
      <c r="A26" s="21"/>
      <c r="B26" s="21"/>
      <c r="C26" s="21"/>
      <c r="D26" s="21"/>
      <c r="E26" s="196"/>
      <c r="F26" s="197"/>
    </row>
    <row r="27" spans="1:6" ht="15.6">
      <c r="A27" s="21"/>
      <c r="B27" s="21"/>
      <c r="C27" s="21"/>
      <c r="D27" s="21"/>
      <c r="E27" s="196"/>
      <c r="F27" s="197"/>
    </row>
    <row r="28" spans="1:6" ht="15.6">
      <c r="A28" s="21"/>
      <c r="B28" s="21"/>
      <c r="C28" s="21"/>
      <c r="D28" s="21"/>
      <c r="E28" s="196"/>
      <c r="F28" s="197"/>
    </row>
    <row r="29" spans="1:6" ht="15.6">
      <c r="A29" s="21"/>
      <c r="B29" s="21"/>
      <c r="C29" s="21"/>
      <c r="D29" s="21"/>
      <c r="E29" s="196"/>
      <c r="F29" s="197"/>
    </row>
    <row r="30" spans="1:6" ht="15.6">
      <c r="A30" s="21"/>
      <c r="B30" s="21"/>
      <c r="C30" s="21"/>
      <c r="D30" s="21"/>
      <c r="E30" s="196"/>
      <c r="F30" s="197"/>
    </row>
    <row r="31" spans="1:6" ht="15.6">
      <c r="A31" s="21"/>
      <c r="B31" s="21"/>
      <c r="C31" s="21"/>
      <c r="D31" s="21"/>
      <c r="E31" s="196"/>
      <c r="F31" s="197"/>
    </row>
    <row r="32" spans="1:6" ht="15.6">
      <c r="A32" s="21"/>
      <c r="B32" s="21"/>
      <c r="C32" s="21"/>
      <c r="D32" s="21"/>
      <c r="E32" s="196"/>
      <c r="F32" s="197"/>
    </row>
    <row r="33" spans="1:6" ht="15.6">
      <c r="A33" s="21"/>
      <c r="B33" s="21"/>
      <c r="C33" s="21"/>
      <c r="D33" s="21"/>
      <c r="E33" s="196"/>
      <c r="F33" s="197"/>
    </row>
    <row r="34" spans="1:6" ht="15.6">
      <c r="A34" s="21"/>
      <c r="B34" s="21"/>
      <c r="C34" s="21"/>
      <c r="D34" s="21"/>
      <c r="E34" s="196"/>
      <c r="F34" s="197"/>
    </row>
    <row r="35" spans="1:6" ht="15.6">
      <c r="A35" s="21"/>
      <c r="B35" s="21"/>
      <c r="C35" s="21"/>
      <c r="D35" s="21"/>
      <c r="E35" s="196"/>
      <c r="F35" s="197"/>
    </row>
    <row r="36" spans="1:6" ht="15.6">
      <c r="A36" s="21"/>
      <c r="B36" s="21"/>
      <c r="C36" s="21"/>
      <c r="D36" s="21"/>
      <c r="E36" s="196"/>
      <c r="F36" s="197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2024-01-02T22:38:14Z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