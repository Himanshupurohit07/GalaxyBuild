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s\ExportTemplates\template\"/>
    </mc:Choice>
  </mc:AlternateContent>
  <bookViews>
    <workbookView xWindow="-108" yWindow="-108" windowWidth="23256" windowHeight="12576" tabRatio="795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07" i="17" l="1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06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51" i="17"/>
  <c r="V25" i="17" l="1"/>
  <c r="V24" i="17"/>
  <c r="V23" i="17"/>
  <c r="V22" i="17"/>
  <c r="V21" i="17"/>
  <c r="H25" i="17" l="1"/>
  <c r="H24" i="17"/>
  <c r="H23" i="17"/>
  <c r="H22" i="17"/>
  <c r="H2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P33" i="17" l="1"/>
  <c r="R220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06" i="17"/>
  <c r="R51" i="17"/>
  <c r="R33" i="17"/>
  <c r="T207" i="17" l="1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20" i="17" l="1"/>
  <c r="V20" i="17"/>
  <c r="H30" i="17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>
  <authors>
    <author>Rashmi</author>
    <author>Naveen Kumar Shivarathri</author>
    <author>Praveen Rajegowda</author>
  </authors>
  <commentList>
    <comment ref="D7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0" authorId="0" shapeId="0">
      <text>
        <r>
          <rPr>
            <sz val="9"/>
            <color indexed="81"/>
            <rFont val="Tahoma"/>
            <family val="2"/>
          </rPr>
          <t xml:space="preserve">{*u|var:scAdditionalUpper|ft:com.lcs.wc.sourcing.LCSCostSheet|locked}
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" authorId="0" shapeId="0">
      <text>
        <r>
          <rPr>
            <b/>
            <sz val="9"/>
            <color indexed="81"/>
            <rFont val="Tahoma"/>
            <family val="2"/>
          </rPr>
          <t>{*u|var:scAdditionalSockliner|ft:com.lcs.wc.sourcing.LCSCostSheet|locked}</t>
        </r>
      </text>
    </comment>
    <comment ref="H2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2" authorId="0" shapeId="0">
      <text>
        <r>
          <rPr>
            <b/>
            <sz val="9"/>
            <color indexed="81"/>
            <rFont val="Tahoma"/>
            <family val="2"/>
          </rPr>
          <t>{*u|var:scAdditionalInsole|ft:com.lcs.wc.sourcing.LCSCostSheet|locked}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" authorId="0" shapeId="0">
      <text>
        <r>
          <rPr>
            <sz val="9"/>
            <color indexed="81"/>
            <rFont val="Tahoma"/>
            <family val="2"/>
          </rPr>
          <t xml:space="preserve">{*u|var:scAdditionalBottom|ft:com.lcs.wc.sourcing.LCSCostSheet|locked}
</t>
        </r>
      </text>
    </comment>
    <comment ref="H2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4" authorId="0" shapeId="0">
      <text>
        <r>
          <rPr>
            <b/>
            <sz val="9"/>
            <color indexed="81"/>
            <rFont val="Tahoma"/>
            <family val="2"/>
          </rPr>
          <t>{*u|var:scAdditionalSundries|ft:com.lcs.wc.sourcing.LCSCostSheet|locked}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5" authorId="0" shapeId="0">
      <text>
        <r>
          <rPr>
            <b/>
            <sz val="9"/>
            <color indexed="81"/>
            <rFont val="Tahoma"/>
            <family val="2"/>
          </rPr>
          <t>{*u|var:scAdditionalPackaging|ft:com.lcs.wc.sourcing.LCSCostSheet|locked}</t>
        </r>
      </text>
    </comment>
    <comment ref="H26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<sst xmlns="http://schemas.openxmlformats.org/spreadsheetml/2006/main" count="4041" uniqueCount="1513">
  <si>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</si>
  <si>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</si>
  <si>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</si>
  <si>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</si>
  <si>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</si>
  <si>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</si>
  <si>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</si>
  <si>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</si>
  <si>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</si>
  <si>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</si>
  <si>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</si>
  <si>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</si>
  <si>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</si>
  <si>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</si>
  <si>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</si>
  <si>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</si>
  <si>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</si>
  <si>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</si>
  <si>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</si>
  <si>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</si>
  <si>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</si>
  <si>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</si>
  <si>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</si>
  <si>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</si>
  <si>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</si>
  <si>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</si>
  <si>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</si>
  <si>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</si>
  <si>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</si>
  <si>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</si>
  <si>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</si>
  <si>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</si>
  <si>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</si>
  <si>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</si>
  <si>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</si>
  <si>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</si>
  <si>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</si>
  <si>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</si>
  <si>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</si>
  <si>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</si>
  <si>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</si>
  <si>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</si>
  <si>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</si>
  <si>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</si>
  <si>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</si>
  <si>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</si>
  <si>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</si>
  <si>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</si>
  <si>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</si>
  <si>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</si>
  <si>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</si>
  <si>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</si>
  <si>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</si>
  <si>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</si>
  <si>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</si>
  <si>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</si>
  <si>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</si>
  <si>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</si>
  <si>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</si>
  <si>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</si>
  <si>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</si>
  <si>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</si>
  <si>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</si>
  <si>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</si>
  <si>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</si>
  <si>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</si>
  <si>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</si>
  <si>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</si>
  <si>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</si>
  <si>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</si>
  <si>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</si>
  <si>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</si>
  <si>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</si>
  <si>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</si>
  <si>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</si>
  <si>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</si>
  <si>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</si>
  <si>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</si>
  <si>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</si>
  <si>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</si>
  <si>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</si>
  <si>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</si>
  <si>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</si>
  <si>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</si>
  <si>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</si>
  <si>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</si>
  <si>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</si>
  <si>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</si>
  <si>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</si>
  <si>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</si>
  <si>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</si>
  <si>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</si>
  <si>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</si>
  <si>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</si>
  <si>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</si>
  <si>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</si>
  <si>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</si>
  <si>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</si>
  <si>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</si>
  <si>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</si>
  <si>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</si>
  <si>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</si>
  <si>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</si>
  <si>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</si>
  <si>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</si>
  <si>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</si>
  <si>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</si>
  <si>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</si>
  <si>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</si>
  <si>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</si>
  <si>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</si>
  <si>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</si>
  <si>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</si>
  <si>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</si>
  <si>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</si>
  <si>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</si>
  <si>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</si>
  <si>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</si>
  <si>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</si>
  <si>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</si>
  <si>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</si>
  <si>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</si>
  <si>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</si>
  <si>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</si>
  <si>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</si>
  <si>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</si>
  <si>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</si>
  <si>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</si>
  <si>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</si>
  <si>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</si>
  <si>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</si>
  <si>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</si>
  <si>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</si>
  <si>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</si>
  <si>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</si>
  <si>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</si>
  <si>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</si>
  <si>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</si>
  <si>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</si>
  <si>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</si>
  <si>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</si>
  <si>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</si>
  <si>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</si>
  <si>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</si>
  <si>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</si>
  <si>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</si>
  <si>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</si>
  <si>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</si>
  <si>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</si>
  <si>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</si>
  <si>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</si>
  <si>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</si>
  <si>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</si>
  <si>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</si>
  <si>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</si>
  <si>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</si>
  <si>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</si>
  <si>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</si>
  <si>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</si>
  <si>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</si>
  <si>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</si>
  <si>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</si>
  <si>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</si>
  <si>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</si>
  <si>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</si>
  <si>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</si>
  <si>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</si>
  <si>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</si>
  <si>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</si>
  <si>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</si>
  <si>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</si>
  <si>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</si>
  <si>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</si>
  <si>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</si>
  <si>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</si>
  <si>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</si>
  <si>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</si>
  <si>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</si>
  <si>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</si>
  <si>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</si>
  <si>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</si>
  <si>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</si>
  <si>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</si>
  <si>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</si>
  <si>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</si>
  <si>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</si>
  <si>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</si>
  <si>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</si>
  <si>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</si>
  <si>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</si>
  <si>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</si>
  <si>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</si>
  <si>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</si>
  <si>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</si>
  <si>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</si>
  <si>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</si>
  <si>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</si>
  <si>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</si>
  <si>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</si>
  <si>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</si>
  <si>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</si>
  <si>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</si>
  <si>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</si>
  <si>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</si>
  <si>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</si>
  <si>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</si>
  <si>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</si>
  <si>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</si>
  <si>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</si>
  <si>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</si>
  <si>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</si>
  <si>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</si>
  <si>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</si>
  <si>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</si>
  <si>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</si>
  <si>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</si>
  <si>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</si>
  <si>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</si>
  <si>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</si>
  <si>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</si>
  <si>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</si>
  <si>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</si>
  <si>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</si>
  <si>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</si>
  <si>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</si>
  <si>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</si>
  <si>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</si>
  <si>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</si>
  <si>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</si>
  <si>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</si>
  <si>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</si>
  <si>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</si>
  <si>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</si>
  <si>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</si>
  <si>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</si>
  <si>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</si>
  <si>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</si>
  <si>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</si>
  <si>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</si>
  <si>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</si>
  <si>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</si>
  <si>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</si>
  <si>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</si>
  <si>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</si>
  <si>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</si>
  <si>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</si>
  <si>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</si>
  <si>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</si>
  <si>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</si>
  <si>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</si>
  <si>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</si>
  <si>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</si>
  <si>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</si>
  <si>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</si>
  <si>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</si>
  <si>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</si>
  <si>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</si>
  <si>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</si>
  <si>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</si>
  <si>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</si>
  <si>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</si>
  <si>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</si>
  <si>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</si>
  <si>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</si>
  <si>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</si>
  <si>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</si>
  <si>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</si>
  <si>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</si>
  <si>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</si>
  <si>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</si>
  <si>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</si>
  <si>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</si>
  <si>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</si>
  <si>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</si>
  <si>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</si>
  <si>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</si>
  <si>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</si>
  <si>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</si>
  <si>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</si>
  <si>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</si>
  <si>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</si>
  <si>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</si>
  <si>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</si>
  <si>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</si>
  <si>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</si>
  <si>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</si>
  <si>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</si>
  <si>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</si>
  <si>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</si>
  <si>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</si>
  <si>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</si>
  <si>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</si>
  <si>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</si>
  <si>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</si>
  <si>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</si>
  <si>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</si>
  <si>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</si>
  <si>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</si>
  <si>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</si>
  <si>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</si>
  <si>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</si>
  <si>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</si>
  <si>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</si>
  <si>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</si>
  <si>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</si>
  <si>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</si>
  <si>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</si>
  <si>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</si>
  <si>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</si>
  <si>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</si>
  <si>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</si>
  <si>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</si>
  <si>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</si>
  <si>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</si>
  <si>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</si>
  <si>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</si>
  <si>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</si>
  <si>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</si>
  <si>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</si>
  <si>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</si>
  <si>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</si>
  <si>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</si>
  <si>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</si>
  <si>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</si>
  <si>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</si>
  <si>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</si>
  <si>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</si>
  <si>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</si>
  <si>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</si>
  <si>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</si>
  <si>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</si>
  <si>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</si>
  <si>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</si>
  <si>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</si>
  <si>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</si>
  <si>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</si>
  <si>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</si>
  <si>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</si>
  <si>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</si>
  <si>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</si>
  <si>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</si>
  <si>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</si>
  <si>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</si>
  <si>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</si>
  <si>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</si>
  <si>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</si>
  <si>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</si>
  <si>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</si>
  <si>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</si>
  <si>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</si>
  <si>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</si>
  <si>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</si>
  <si>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</si>
  <si>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</si>
  <si>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</si>
  <si>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</si>
  <si>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</si>
  <si>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</si>
  <si>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</si>
  <si>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</si>
  <si>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</si>
  <si>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</si>
  <si>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</si>
  <si>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</si>
  <si>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</si>
  <si>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</si>
  <si>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</si>
  <si>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</si>
  <si>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</si>
  <si>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</si>
  <si>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</si>
  <si>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</si>
  <si>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</si>
  <si>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</si>
  <si>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</si>
  <si>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</si>
  <si>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</si>
  <si>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</si>
  <si>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</si>
  <si>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</si>
  <si>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</si>
  <si>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</si>
  <si>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</si>
  <si>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</si>
  <si>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</si>
  <si>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</si>
  <si>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</si>
  <si>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</si>
  <si>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</si>
  <si>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</si>
  <si>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</si>
  <si>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</si>
  <si>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</si>
  <si>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</si>
  <si>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</si>
  <si>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</si>
  <si>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</si>
  <si>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</si>
  <si>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</si>
  <si>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</si>
  <si>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</si>
  <si>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</si>
  <si>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</si>
  <si>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</si>
  <si>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</si>
  <si>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</si>
  <si>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</si>
  <si>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</si>
  <si>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</si>
  <si>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</si>
  <si>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</si>
  <si>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</si>
  <si>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</si>
  <si>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</si>
  <si>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</si>
  <si>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</si>
  <si>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</si>
  <si>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</si>
  <si>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</si>
  <si>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</si>
  <si>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</si>
  <si>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</si>
  <si>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</si>
  <si>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</si>
  <si>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</si>
  <si>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</si>
  <si>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</si>
  <si>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</si>
  <si>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</si>
  <si>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</si>
  <si>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</si>
  <si>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</si>
  <si>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</si>
  <si>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</si>
  <si>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</si>
  <si>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</si>
  <si>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</si>
  <si>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</si>
  <si>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</si>
  <si>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</si>
  <si>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</si>
  <si>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</si>
  <si>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</si>
  <si>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</si>
  <si>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</si>
  <si>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</si>
  <si>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</si>
  <si>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</si>
  <si>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</si>
  <si>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</si>
  <si>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</si>
  <si>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</si>
  <si>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</si>
  <si>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</si>
  <si>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</si>
  <si>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</si>
  <si>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</si>
  <si>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</si>
  <si>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</si>
  <si>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</si>
  <si>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</si>
  <si>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</si>
  <si>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</si>
  <si>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</si>
  <si>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</si>
  <si>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</si>
  <si>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</si>
  <si>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</si>
  <si>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</si>
  <si>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</si>
  <si>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</si>
  <si>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</si>
  <si>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</si>
  <si>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</si>
  <si>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</si>
  <si>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</si>
  <si>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</si>
  <si>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</si>
  <si>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</si>
  <si>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</si>
  <si>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</si>
  <si>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</si>
  <si>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</si>
  <si>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</si>
  <si>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</si>
  <si>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</si>
  <si>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</si>
  <si>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</si>
  <si>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</si>
  <si>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</si>
  <si>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</si>
  <si>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</si>
  <si>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</si>
  <si>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</si>
  <si>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</si>
  <si>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</si>
  <si>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</si>
  <si>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</si>
  <si>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</si>
  <si>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</si>
  <si>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</si>
  <si>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</si>
  <si>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</si>
  <si>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</si>
  <si>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</si>
  <si>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</si>
  <si>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</si>
  <si>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</si>
  <si>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</si>
  <si>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</si>
  <si>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</si>
  <si>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</si>
  <si>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</si>
  <si>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</si>
  <si>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</si>
  <si>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</si>
  <si>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</si>
  <si>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</si>
  <si>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</si>
  <si>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</si>
  <si>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</si>
  <si>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</si>
  <si>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</si>
  <si>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</si>
  <si>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</si>
  <si>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</si>
  <si>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</si>
  <si>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</si>
  <si>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</si>
  <si>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</si>
  <si>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</si>
  <si>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</si>
  <si>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</si>
  <si>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</si>
  <si>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</si>
  <si>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</si>
  <si>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</si>
  <si>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</si>
  <si>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</si>
  <si>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</si>
  <si>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</si>
  <si>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</si>
  <si>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</si>
  <si>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</si>
  <si>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</si>
  <si>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</si>
  <si>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</si>
  <si>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</si>
  <si>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</si>
  <si>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</si>
  <si>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</si>
  <si>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</si>
  <si>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</si>
  <si>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</si>
  <si>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</si>
  <si>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</si>
  <si>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</si>
  <si>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</si>
  <si>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</si>
  <si>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</si>
  <si>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</si>
  <si>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</si>
  <si>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</si>
  <si>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</si>
  <si>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</si>
  <si>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</si>
  <si>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</si>
  <si>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</si>
  <si>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</si>
  <si>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</si>
  <si>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</si>
  <si>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</si>
  <si>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</si>
  <si>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</si>
  <si>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</si>
  <si>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</si>
  <si>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</si>
  <si>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</si>
  <si>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</si>
  <si>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</si>
  <si>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</si>
  <si>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</si>
  <si>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</si>
  <si>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</si>
  <si>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</si>
  <si>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</si>
  <si>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</si>
  <si>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</si>
  <si>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</si>
  <si>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</si>
  <si>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</si>
  <si>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</si>
  <si>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</si>
  <si>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</si>
  <si>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</si>
  <si>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</si>
  <si>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</si>
  <si>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</si>
  <si>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</si>
  <si>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</si>
  <si>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</si>
  <si>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</si>
  <si>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</si>
  <si>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</si>
  <si>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</si>
  <si>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</si>
  <si>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</si>
  <si>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</si>
  <si>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</si>
  <si>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</si>
  <si>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</si>
  <si>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</si>
  <si>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</si>
  <si>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</si>
  <si>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</si>
  <si>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</si>
  <si>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</si>
  <si>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</si>
  <si>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</si>
  <si>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</si>
  <si>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</si>
  <si>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</si>
  <si>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</si>
  <si>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</si>
  <si>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</si>
  <si>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</si>
  <si>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</si>
  <si>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</si>
  <si>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</si>
  <si>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</si>
  <si>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</si>
  <si>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</si>
  <si>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</si>
  <si>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</si>
  <si>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</si>
  <si>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</si>
  <si>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</si>
  <si>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</si>
  <si>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</si>
  <si>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</si>
  <si>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</si>
  <si>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</si>
  <si>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</si>
  <si>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</si>
  <si>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</si>
  <si>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</si>
  <si>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</si>
  <si>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</si>
  <si>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</si>
  <si>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</si>
  <si>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</si>
  <si>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</si>
  <si>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</si>
  <si>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</si>
  <si>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</si>
  <si>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</si>
  <si>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</si>
  <si>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</si>
  <si>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</si>
  <si>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</si>
  <si>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</si>
  <si>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</si>
  <si>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</si>
  <si>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</si>
  <si>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</si>
  <si>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</si>
  <si>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</si>
  <si>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</si>
  <si>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</si>
  <si>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</si>
  <si>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</si>
  <si>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</si>
  <si>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</si>
  <si>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</si>
  <si>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</si>
  <si>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</si>
  <si>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</si>
  <si>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</si>
  <si>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</si>
  <si>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</si>
  <si>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</si>
  <si>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</si>
  <si>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</si>
  <si>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</si>
  <si>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</si>
  <si>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</si>
  <si>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</si>
  <si>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</si>
  <si>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</si>
  <si>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</si>
  <si>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</si>
  <si>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</si>
  <si>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</si>
  <si>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</si>
  <si>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</si>
  <si>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</si>
  <si>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</si>
  <si>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</si>
  <si>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</si>
  <si>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</si>
  <si>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</si>
  <si>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</si>
  <si>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</si>
  <si>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</si>
  <si>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</si>
  <si>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</si>
  <si>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</si>
  <si>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</si>
  <si>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</si>
  <si>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</si>
  <si>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</si>
  <si>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</si>
  <si>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</si>
  <si>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</si>
  <si>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</si>
  <si>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</si>
  <si>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</si>
  <si>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</si>
  <si>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</si>
  <si>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</si>
  <si>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</si>
  <si>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</si>
  <si>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</si>
  <si>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</si>
  <si>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</si>
  <si>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</si>
  <si>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</si>
  <si>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</si>
  <si>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</si>
  <si>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</si>
  <si>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</si>
  <si>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</si>
  <si>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</si>
  <si>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</si>
  <si>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</si>
  <si>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</si>
  <si>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</si>
  <si>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</si>
  <si>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</si>
  <si>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</si>
  <si>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</si>
  <si>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</si>
  <si>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</si>
  <si>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</si>
  <si>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</si>
  <si>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</si>
  <si>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</si>
  <si>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</si>
  <si>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</si>
  <si>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</si>
  <si>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</si>
  <si>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</si>
  <si>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</si>
  <si>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</si>
  <si>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</si>
  <si>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</si>
  <si>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</si>
  <si>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</si>
  <si>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</si>
  <si>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</si>
  <si>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</si>
  <si>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</si>
  <si>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</si>
  <si>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</si>
  <si>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</si>
  <si>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</si>
  <si>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</si>
  <si>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</si>
  <si>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</si>
  <si>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</si>
  <si>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</si>
  <si>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</si>
  <si>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</si>
  <si>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</si>
  <si>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</si>
  <si>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</si>
  <si>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</si>
  <si>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</si>
  <si>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</si>
  <si>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</si>
  <si>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</si>
  <si>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</si>
  <si>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</si>
  <si>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</si>
  <si>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</si>
  <si>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</si>
  <si>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</si>
  <si>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</si>
  <si>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</si>
  <si>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</si>
  <si>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</si>
  <si>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</si>
  <si>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</si>
  <si>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</si>
  <si>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</si>
  <si>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</si>
  <si>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</si>
  <si>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</si>
  <si>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</si>
  <si>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</si>
  <si>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</si>
  <si>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</si>
  <si>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</si>
  <si>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</si>
  <si>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</si>
  <si>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</si>
  <si>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</si>
  <si>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</si>
  <si>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</si>
  <si>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</si>
  <si>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</si>
  <si>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</si>
  <si>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</si>
  <si>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</si>
  <si>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</si>
  <si>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</si>
  <si>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</si>
  <si>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</si>
  <si>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</si>
  <si>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</si>
  <si>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</si>
  <si>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</si>
  <si>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</si>
  <si>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</si>
  <si>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</si>
  <si>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</si>
  <si>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</si>
  <si>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</si>
  <si>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</si>
  <si>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</si>
  <si>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</si>
  <si>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</si>
  <si>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</si>
  <si>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</si>
  <si>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</si>
  <si>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</si>
  <si>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</si>
  <si>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</si>
  <si>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</si>
  <si>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</si>
  <si>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</si>
  <si>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</si>
  <si>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</si>
  <si>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</si>
  <si>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</si>
  <si>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</si>
  <si>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</si>
  <si>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</si>
  <si>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</si>
  <si>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</si>
  <si>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</si>
  <si>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</si>
  <si>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</si>
  <si>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</si>
  <si>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</si>
  <si>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</si>
  <si>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</si>
  <si>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</si>
  <si>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</si>
  <si>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</si>
  <si>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</si>
  <si>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</si>
  <si>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</si>
  <si>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</si>
  <si>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</si>
  <si>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</si>
  <si>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</si>
  <si>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</si>
  <si>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</si>
  <si>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</si>
  <si>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</si>
  <si>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</si>
  <si>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</si>
  <si>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</si>
  <si>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</si>
  <si>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</si>
  <si>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</si>
  <si>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</si>
  <si>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</si>
  <si>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</si>
  <si>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</si>
  <si>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</si>
  <si>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</si>
  <si>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</si>
  <si>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</si>
  <si>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</si>
  <si>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</si>
  <si>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</si>
  <si>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</si>
  <si>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</si>
  <si>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</si>
  <si>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</si>
  <si>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</si>
  <si>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</si>
  <si>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</si>
  <si>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</si>
  <si>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</si>
  <si>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</si>
  <si>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</si>
  <si>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</si>
  <si>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</si>
  <si>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</si>
  <si>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</si>
  <si>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</si>
  <si>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</si>
  <si>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</si>
  <si>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</si>
  <si>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</si>
  <si>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</si>
  <si>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</si>
  <si>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</si>
  <si>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</si>
  <si>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</si>
  <si>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</si>
  <si>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</si>
  <si>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</si>
  <si>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</si>
  <si>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</si>
  <si>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</si>
  <si>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</si>
  <si>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</si>
  <si>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</si>
  <si>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</si>
  <si>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</si>
  <si>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</si>
  <si>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</si>
  <si>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</si>
  <si>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</si>
  <si>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</si>
  <si>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</si>
  <si>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</si>
  <si>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</si>
  <si>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</si>
  <si>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</si>
  <si>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</si>
  <si>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</si>
  <si>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</si>
  <si>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</si>
  <si>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</si>
  <si>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</si>
  <si>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</si>
  <si>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</si>
  <si>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</si>
  <si>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</si>
  <si>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</si>
  <si>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</si>
  <si>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</si>
  <si>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</si>
  <si>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</si>
  <si>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</si>
  <si>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</si>
  <si>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</si>
  <si>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</si>
  <si>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</si>
  <si>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</si>
  <si>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</si>
  <si>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</si>
  <si>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</si>
  <si>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</si>
  <si>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</si>
  <si>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</si>
  <si>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</si>
  <si>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</si>
  <si>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</si>
  <si>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</si>
  <si>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</si>
  <si>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</si>
  <si>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</si>
  <si>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</si>
  <si>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</si>
  <si>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</si>
  <si>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</si>
  <si>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</si>
  <si>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</si>
  <si>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</si>
  <si>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</si>
  <si>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</si>
  <si>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</si>
  <si>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</si>
  <si>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</si>
  <si>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</si>
  <si>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</si>
  <si>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</si>
  <si>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</si>
  <si>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</si>
  <si>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</si>
  <si>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</si>
  <si>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</si>
  <si>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</si>
  <si>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</si>
  <si>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</si>
  <si>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</si>
  <si>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</si>
  <si>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</si>
  <si>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</si>
  <si>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</si>
  <si>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</si>
  <si>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</si>
  <si>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</si>
  <si>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</si>
  <si>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</si>
  <si>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</si>
  <si>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</si>
  <si>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</si>
  <si>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</si>
  <si>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</si>
  <si>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</si>
  <si>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</si>
  <si>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</si>
  <si>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</si>
  <si>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</si>
  <si>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</si>
  <si>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</si>
  <si>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</si>
  <si>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</si>
  <si>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</si>
  <si>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</si>
  <si>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</si>
  <si>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</si>
  <si>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</si>
  <si>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</si>
  <si>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</si>
  <si>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</si>
  <si>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</si>
  <si>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</si>
  <si>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</si>
  <si>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</si>
  <si>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</si>
  <si>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</si>
  <si>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</si>
  <si>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</si>
  <si>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</si>
  <si>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</si>
  <si>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</si>
  <si>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</si>
  <si>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</si>
  <si>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</si>
  <si>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</si>
  <si>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</si>
  <si>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</si>
  <si>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</si>
  <si>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</si>
  <si>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</si>
  <si>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</si>
  <si>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</si>
  <si>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</si>
  <si>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</si>
  <si>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</si>
  <si>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</si>
  <si>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</si>
  <si>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</si>
  <si>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</si>
  <si>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</si>
  <si>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</si>
  <si>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</si>
  <si>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</si>
  <si>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</si>
  <si>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</si>
  <si>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</si>
  <si>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</si>
  <si>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</si>
  <si>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</si>
  <si>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</si>
  <si>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</si>
  <si>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</si>
  <si>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</si>
  <si>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</si>
  <si>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</si>
  <si>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</si>
  <si>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</si>
  <si>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</si>
  <si>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</si>
  <si>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</si>
  <si>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</si>
  <si>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</si>
  <si>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</si>
  <si>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</si>
  <si>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</si>
  <si>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</si>
  <si>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</si>
  <si>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</si>
  <si>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</si>
  <si>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</si>
  <si>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</si>
  <si>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</si>
  <si>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</si>
  <si>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</si>
  <si>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</si>
  <si>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</si>
  <si>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</si>
  <si>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</si>
  <si>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</si>
  <si>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</si>
  <si>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</si>
  <si>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</si>
  <si>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</si>
  <si>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</si>
  <si>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</si>
  <si>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</si>
  <si>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</si>
  <si>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</si>
  <si>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</si>
  <si>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</si>
  <si>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</si>
  <si>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</si>
  <si>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</si>
  <si>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</si>
  <si>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</si>
  <si>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</si>
  <si>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</si>
  <si>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</si>
  <si>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</si>
  <si>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</si>
  <si>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</si>
  <si>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</si>
  <si>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</si>
  <si>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</si>
  <si>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</si>
  <si>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</si>
  <si>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</si>
  <si>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</si>
  <si>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</si>
  <si>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</si>
  <si>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</si>
  <si>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</si>
  <si>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</si>
  <si>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</si>
  <si>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</si>
  <si>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</si>
  <si>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</si>
  <si>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</si>
  <si>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</si>
  <si>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</si>
  <si>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</si>
  <si>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</si>
  <si>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</si>
  <si>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</si>
  <si>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</si>
  <si>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</si>
  <si>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</si>
  <si>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</si>
  <si>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</si>
  <si>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</si>
  <si>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</si>
  <si>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</si>
  <si>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</si>
  <si>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</si>
  <si>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</si>
  <si>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</si>
  <si>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</si>
  <si>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</si>
  <si>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</si>
  <si>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</si>
  <si>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</si>
  <si>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</si>
  <si>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</si>
  <si>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</si>
  <si>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</si>
  <si>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</si>
  <si>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</si>
  <si>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</si>
  <si>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</si>
  <si>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</si>
  <si>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</si>
  <si>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</si>
  <si>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</si>
  <si>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</si>
  <si>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</si>
  <si>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</si>
  <si>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</si>
  <si>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</si>
  <si>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</si>
  <si>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</si>
  <si>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</si>
  <si>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</si>
  <si>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</si>
  <si>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</si>
  <si>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</si>
  <si>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</si>
  <si>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</si>
  <si>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</si>
  <si>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</si>
  <si>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</si>
  <si>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</si>
  <si>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</si>
  <si>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</si>
  <si>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</si>
  <si>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</si>
  <si>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</si>
  <si>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</si>
  <si>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</si>
  <si>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</si>
  <si>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</si>
  <si>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</si>
  <si>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</si>
  <si>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</si>
  <si>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</si>
  <si>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</si>
  <si>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</si>
  <si>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</si>
  <si>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</si>
  <si>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</si>
  <si>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</si>
  <si>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</si>
  <si>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</si>
  <si>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</si>
  <si>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</si>
  <si>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</si>
  <si>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</si>
  <si>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</si>
  <si>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</si>
  <si>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</si>
  <si>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</si>
  <si>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</si>
  <si>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</si>
  <si>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</si>
  <si>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</si>
  <si>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</si>
  <si>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</si>
  <si>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</si>
  <si>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</si>
  <si>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</si>
  <si>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</si>
  <si>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</si>
  <si>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</si>
  <si>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</si>
  <si>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</si>
  <si>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</si>
  <si>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</si>
  <si>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</si>
  <si>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</si>
  <si>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</si>
  <si>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</si>
  <si>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</si>
  <si>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</si>
  <si>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</si>
  <si>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</si>
  <si>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</si>
  <si>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</si>
  <si>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</si>
  <si>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</si>
  <si>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</si>
  <si>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</si>
  <si>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</si>
  <si>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</si>
  <si>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</si>
  <si>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</si>
  <si>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</si>
  <si>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</si>
  <si>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</si>
  <si>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</si>
  <si>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</si>
  <si>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</si>
  <si>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</si>
  <si>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</si>
  <si>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</si>
  <si>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</si>
  <si>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</si>
  <si>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</si>
  <si>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</si>
  <si>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</si>
  <si>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</si>
  <si>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</si>
  <si>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</si>
  <si>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</si>
  <si>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</si>
  <si>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</si>
  <si>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</si>
  <si>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</si>
  <si>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</si>
  <si>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</si>
  <si>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</si>
  <si>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</si>
  <si>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</si>
  <si>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</si>
  <si>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</si>
  <si>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</si>
  <si>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</si>
  <si>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</si>
  <si>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</si>
  <si>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</si>
  <si>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</si>
  <si>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</si>
  <si>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</si>
  <si>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</si>
  <si>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</si>
  <si>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</si>
  <si>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</si>
  <si>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</si>
  <si>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</si>
  <si>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</si>
  <si>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</si>
  <si>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</si>
  <si>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</si>
  <si>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</si>
  <si>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</si>
  <si>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</si>
  <si>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</si>
  <si>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</si>
  <si>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</si>
  <si>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</si>
  <si>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</si>
  <si>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</si>
  <si>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</si>
  <si>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</si>
  <si>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</si>
  <si>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</si>
  <si>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</si>
  <si>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</si>
  <si>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</si>
  <si>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</si>
  <si>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</si>
  <si>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</si>
  <si>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</si>
  <si>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</si>
  <si>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</si>
  <si>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</si>
  <si>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</si>
  <si>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</si>
  <si>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</si>
  <si>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</si>
  <si>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</si>
  <si>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</si>
  <si>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</si>
  <si>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</si>
  <si>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</si>
  <si>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</si>
  <si>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</si>
  <si>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</si>
  <si>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</si>
  <si>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</si>
  <si>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</si>
  <si>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</si>
  <si>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</si>
  <si>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</si>
  <si>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</si>
  <si>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</si>
  <si>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</si>
  <si>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</si>
  <si>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</si>
  <si>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</si>
  <si>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</si>
  <si>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</si>
  <si>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</si>
  <si>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</si>
  <si>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</si>
  <si>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</si>
  <si>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</si>
  <si>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</si>
  <si>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</si>
  <si>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</si>
  <si>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</si>
  <si>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</si>
  <si>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</si>
  <si>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</si>
  <si>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</si>
  <si>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</si>
  <si>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</si>
  <si>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</si>
  <si>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</si>
  <si>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</si>
  <si>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</si>
  <si>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</si>
  <si>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</si>
  <si>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</si>
  <si>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</si>
  <si>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</si>
  <si>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</si>
  <si>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</si>
  <si>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</si>
  <si>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</si>
  <si>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</si>
  <si>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</si>
  <si>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</si>
  <si>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</si>
  <si>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</si>
  <si>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</si>
  <si>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</si>
  <si>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</si>
  <si>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</si>
  <si>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</si>
  <si>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</si>
  <si>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</si>
  <si>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</si>
  <si>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</si>
  <si>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</si>
  <si>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</si>
  <si>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</si>
  <si>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</si>
  <si>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</si>
  <si>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</si>
  <si>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</si>
  <si>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</si>
  <si>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</si>
  <si>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</si>
  <si>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</si>
  <si>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</si>
  <si>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</si>
  <si>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</si>
  <si>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</si>
  <si>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</si>
  <si>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</si>
  <si>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</si>
  <si>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</si>
  <si>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</si>
  <si>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</si>
  <si>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</si>
  <si>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</si>
  <si>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</si>
  <si>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</si>
  <si>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</si>
  <si>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</si>
  <si>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</si>
  <si>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</si>
  <si>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</si>
  <si>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</si>
  <si>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</si>
  <si>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</si>
  <si>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</si>
  <si>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</si>
  <si>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</si>
  <si>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</si>
  <si>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</si>
  <si>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</si>
  <si>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</si>
  <si>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</si>
  <si>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</si>
  <si>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</si>
  <si>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</si>
  <si>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</si>
  <si>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</si>
  <si>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</si>
  <si>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</si>
  <si>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</si>
  <si>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</si>
  <si>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</si>
  <si>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</si>
  <si>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</si>
  <si>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</si>
  <si>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</si>
  <si>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</si>
  <si>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</si>
  <si>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</si>
  <si>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</si>
  <si>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</si>
  <si>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</si>
  <si>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</si>
  <si>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</si>
  <si>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</si>
  <si>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</si>
  <si>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</si>
  <si>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</si>
  <si>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</si>
  <si>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</si>
  <si>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</si>
  <si>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</si>
  <si>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</si>
  <si>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</si>
  <si>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</si>
  <si>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</si>
  <si>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</si>
  <si>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</si>
  <si>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</si>
  <si>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</si>
  <si>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</si>
  <si>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</si>
  <si>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</si>
  <si>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</si>
  <si>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</si>
  <si>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</si>
  <si>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</si>
  <si>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</si>
  <si>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</si>
  <si>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</si>
  <si>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</si>
  <si>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</si>
  <si>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</si>
  <si>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</si>
  <si>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</si>
  <si>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</si>
  <si>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</si>
  <si>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</si>
  <si>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</si>
  <si>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</si>
  <si>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</si>
  <si>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</si>
  <si>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</si>
  <si>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</si>
  <si>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</si>
  <si>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</si>
  <si>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</si>
  <si>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</si>
  <si>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</si>
  <si>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</si>
  <si>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</si>
  <si>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</si>
  <si>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</si>
  <si>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</si>
  <si>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</si>
  <si>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</si>
  <si>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</si>
  <si>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</si>
  <si>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</si>
  <si>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</si>
  <si>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</si>
  <si>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</si>
  <si>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</si>
  <si>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</si>
  <si>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</si>
  <si>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</si>
  <si>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Additional Override Attributes</t>
  </si>
  <si>
    <t>{*du|var:name}</t>
  </si>
  <si>
    <t>{*du|var:scCostSheetNumber|locked}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</si>
</sst>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44" fontId="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2" fillId="0" borderId="0" xfId="1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43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6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6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6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44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41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44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41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41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43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43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4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4" fontId="57" fillId="0" borderId="0" xfId="1" applyNumberFormat="1" applyFont="1" applyAlignment="1">
      <alignment horizontal="center" vertical="center"/>
    </xf>
    <xf numFmtId="43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43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43" fontId="39" fillId="4" borderId="13" xfId="1" applyNumberFormat="1" applyFont="1" applyFill="1" applyBorder="1" applyAlignment="1">
      <alignment horizontal="center" vertical="top"/>
    </xf>
    <xf numFmtId="164" fontId="57" fillId="12" borderId="0" xfId="1" applyNumberFormat="1" applyFont="1" applyFill="1" applyAlignment="1">
      <alignment horizontal="right" vertical="top"/>
    </xf>
    <xf numFmtId="43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43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4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41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43" fontId="39" fillId="9" borderId="11" xfId="1" applyNumberFormat="1" applyFont="1" applyFill="1" applyBorder="1" applyAlignment="1">
      <alignment horizontal="left" vertical="center"/>
    </xf>
    <xf numFmtId="43" fontId="39" fillId="9" borderId="5" xfId="1" applyNumberFormat="1" applyFont="1" applyFill="1" applyBorder="1" applyAlignment="1">
      <alignment horizontal="left" vertical="center"/>
    </xf>
    <xf numFmtId="43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5" fontId="63" fillId="14" borderId="34" xfId="9" applyNumberFormat="1" applyFont="1" applyFill="1" applyBorder="1" applyAlignment="1">
      <alignment horizontal="left" vertical="center"/>
    </xf>
    <xf numFmtId="165" fontId="63" fillId="14" borderId="35" xfId="9" applyNumberFormat="1" applyFont="1" applyFill="1" applyBorder="1" applyAlignment="1">
      <alignment horizontal="left" vertical="center"/>
    </xf>
    <xf numFmtId="43" fontId="39" fillId="14" borderId="14" xfId="1" applyNumberFormat="1" applyFont="1" applyFill="1" applyBorder="1" applyAlignment="1">
      <alignment horizontal="left" vertical="center" wrapText="1"/>
    </xf>
    <xf numFmtId="43" fontId="39" fillId="14" borderId="12" xfId="1" applyNumberFormat="1" applyFont="1" applyFill="1" applyBorder="1" applyAlignment="1">
      <alignment horizontal="left" vertical="center" wrapText="1"/>
    </xf>
    <xf numFmtId="43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4" fontId="37" fillId="6" borderId="9" xfId="1" applyNumberFormat="1" applyFont="1" applyFill="1" applyBorder="1" applyAlignment="1">
      <alignment vertical="center"/>
    </xf>
    <xf numFmtId="164" fontId="37" fillId="6" borderId="3" xfId="1" applyNumberFormat="1" applyFont="1" applyFill="1" applyBorder="1" applyAlignment="1">
      <alignment vertical="center"/>
    </xf>
    <xf numFmtId="44" fontId="39" fillId="6" borderId="5" xfId="8" applyFont="1" applyFill="1" applyBorder="1" applyAlignment="1">
      <alignment horizontal="center" vertical="center"/>
    </xf>
    <xf numFmtId="44" fontId="37" fillId="6" borderId="9" xfId="8" applyFont="1" applyFill="1" applyBorder="1" applyAlignment="1">
      <alignment vertical="center"/>
    </xf>
    <xf numFmtId="43" fontId="47" fillId="6" borderId="9" xfId="1" applyNumberFormat="1" applyFont="1" applyFill="1" applyBorder="1" applyAlignment="1">
      <alignment vertical="center"/>
    </xf>
    <xf numFmtId="41" fontId="39" fillId="10" borderId="11" xfId="1" applyNumberFormat="1" applyFont="1" applyFill="1" applyBorder="1" applyAlignment="1">
      <alignment horizontal="left" vertical="center"/>
    </xf>
    <xf numFmtId="41" fontId="39" fillId="10" borderId="5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left" vertical="center"/>
    </xf>
    <xf numFmtId="43" fontId="39" fillId="10" borderId="12" xfId="1" applyNumberFormat="1" applyFont="1" applyFill="1" applyBorder="1" applyAlignment="1">
      <alignment horizontal="left" vertical="center"/>
    </xf>
    <xf numFmtId="43" fontId="39" fillId="10" borderId="5" xfId="1" applyNumberFormat="1" applyFont="1" applyFill="1" applyBorder="1" applyAlignment="1">
      <alignment horizontal="left" vertical="center"/>
    </xf>
    <xf numFmtId="43" fontId="39" fillId="10" borderId="13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center" vertical="center"/>
    </xf>
    <xf numFmtId="43" fontId="39" fillId="10" borderId="12" xfId="1" applyNumberFormat="1" applyFont="1" applyFill="1" applyBorder="1" applyAlignment="1">
      <alignment horizontal="center" vertical="center"/>
    </xf>
    <xf numFmtId="43" fontId="39" fillId="10" borderId="13" xfId="1" applyNumberFormat="1" applyFont="1" applyFill="1" applyBorder="1" applyAlignment="1">
      <alignment horizontal="center" vertical="center"/>
    </xf>
    <xf numFmtId="43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6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6" fontId="30" fillId="15" borderId="20" xfId="0" applyNumberFormat="1" applyFont="1" applyFill="1" applyBorder="1" applyAlignment="1">
      <alignment horizontal="center" vertical="center"/>
    </xf>
    <xf numFmtId="166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6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6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43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41" fontId="39" fillId="10" borderId="12" xfId="1" applyNumberFormat="1" applyFont="1" applyFill="1" applyBorder="1" applyAlignment="1">
      <alignment horizontal="left" vertical="center"/>
    </xf>
    <xf numFmtId="41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6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6" fontId="30" fillId="4" borderId="40" xfId="3" applyNumberFormat="1" applyFont="1" applyFill="1" applyBorder="1" applyAlignment="1">
      <alignment horizontal="center" vertical="center" wrapText="1"/>
    </xf>
    <xf numFmtId="167" fontId="30" fillId="4" borderId="20" xfId="3" applyNumberFormat="1" applyFont="1" applyFill="1" applyBorder="1" applyAlignment="1">
      <alignment horizontal="center" vertical="center" wrapText="1"/>
    </xf>
    <xf numFmtId="167" fontId="29" fillId="6" borderId="20" xfId="1" applyNumberFormat="1" applyFont="1" applyFill="1" applyBorder="1" applyAlignment="1">
      <alignment horizontal="center" vertical="center" wrapText="1"/>
    </xf>
    <xf numFmtId="2" fontId="37" fillId="14" borderId="3" xfId="5" applyNumberFormat="1" applyFont="1" applyFill="1" applyBorder="1" applyAlignment="1">
      <alignment horizontal="center" vertical="center"/>
    </xf>
    <xf numFmtId="168" fontId="29" fillId="6" borderId="20" xfId="1" applyNumberFormat="1" applyFont="1" applyFill="1" applyBorder="1" applyAlignment="1">
      <alignment horizontal="center" vertical="center" wrapText="1"/>
    </xf>
    <xf numFmtId="168" fontId="30" fillId="4" borderId="20" xfId="0" applyNumberFormat="1" applyFont="1" applyFill="1" applyBorder="1" applyAlignment="1">
      <alignment horizontal="center" vertical="center" wrapText="1"/>
    </xf>
    <xf numFmtId="168" fontId="30" fillId="4" borderId="20" xfId="5" applyNumberFormat="1" applyFont="1" applyFill="1" applyBorder="1" applyAlignment="1">
      <alignment horizontal="center" vertical="center" wrapText="1"/>
    </xf>
    <xf numFmtId="4" fontId="30" fillId="4" borderId="20" xfId="5" applyNumberFormat="1" applyFont="1" applyFill="1" applyBorder="1" applyAlignment="1">
      <alignment horizontal="center" vertical="center" wrapText="1"/>
    </xf>
    <xf numFmtId="0" fontId="38" fillId="15" borderId="12" xfId="9" applyFont="1" applyFill="1" applyBorder="1" applyAlignment="1">
      <alignment vertical="center"/>
    </xf>
    <xf numFmtId="165" fontId="63" fillId="14" borderId="34" xfId="9" applyNumberFormat="1" applyFont="1" applyFill="1" applyBorder="1" applyAlignment="1">
      <alignment vertical="center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/>
    <cellStyle name="Currency 2 2" xfId="16"/>
    <cellStyle name="Currency 3" xfId="15"/>
    <cellStyle name="Currency 3 3" xfId="18"/>
    <cellStyle name="Currency 4" xfId="17"/>
    <cellStyle name="Normal" xfId="0" builtinId="0"/>
    <cellStyle name="Normal 2" xfId="1"/>
    <cellStyle name="Normal 2 2" xfId="6"/>
    <cellStyle name="Normal 2 3" xfId="7"/>
    <cellStyle name="Normal 2 3 2" xfId="9"/>
    <cellStyle name="Normal 3" xfId="11"/>
    <cellStyle name="Normal 5" xfId="4"/>
    <cellStyle name="Normal 5 4" xfId="12"/>
    <cellStyle name="Normal 6" xfId="14"/>
    <cellStyle name="Percent" xfId="5" builtinId="5"/>
    <cellStyle name="Percent 2" xfId="3"/>
    <cellStyle name="Percent 2 2" xfId="10"/>
    <cellStyle name="Percent 2 3" xfId="13"/>
    <cellStyle name="Percent 3" xfId="19"/>
    <cellStyle name="Percent 3 2" xfId="2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1:AO220"/>
  <sheetViews>
    <sheetView showGridLines="0" tabSelected="1" topLeftCell="N16" zoomScale="60" zoomScaleNormal="60" workbookViewId="0">
      <selection activeCell="V26" sqref="V26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0"/>
      <c r="D1" s="310"/>
      <c r="E1" s="310"/>
      <c r="F1" s="310"/>
      <c r="G1" s="310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4"/>
      <c r="E3" s="224"/>
      <c r="F3" s="224"/>
      <c r="G3" s="224"/>
      <c r="H3" s="224"/>
      <c r="I3" s="224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7" t="s">
        <v>124</v>
      </c>
      <c r="D5" s="198"/>
      <c r="E5" s="198"/>
      <c r="F5" s="198"/>
      <c r="G5" s="198"/>
      <c r="H5" s="198"/>
      <c r="I5" s="198"/>
      <c r="J5" s="198"/>
      <c r="K5" s="198"/>
      <c r="L5" s="199"/>
      <c r="M5" s="198"/>
      <c r="N5" s="198"/>
      <c r="O5" s="198"/>
      <c r="P5" s="199"/>
      <c r="Q5" s="198"/>
      <c r="R5" s="198"/>
      <c r="S5" s="199"/>
      <c r="T5" s="199"/>
      <c r="U5" s="200"/>
    </row>
    <row r="6" spans="3:41" s="37" customFormat="1" ht="51.6" customHeight="1">
      <c r="C6" s="218" t="s">
        <v>125</v>
      </c>
      <c r="D6" s="248" t="s">
        <v>1502</v>
      </c>
      <c r="F6" s="217" t="s">
        <v>126</v>
      </c>
      <c r="G6" s="249" t="s">
        <v>1503</v>
      </c>
      <c r="H6" s="96"/>
      <c r="I6" s="217" t="s">
        <v>127</v>
      </c>
      <c r="J6" s="324" t="s">
        <v>1472</v>
      </c>
      <c r="L6" s="94"/>
      <c r="M6" s="217"/>
      <c r="N6" s="217" t="s">
        <v>128</v>
      </c>
      <c r="O6" s="326" t="s">
        <v>1475</v>
      </c>
      <c r="P6" s="93"/>
      <c r="Q6" s="217"/>
      <c r="U6" s="95"/>
      <c r="V6" s="76"/>
    </row>
    <row r="7" spans="3:41" s="37" customFormat="1" ht="46.2" customHeight="1">
      <c r="C7" s="218" t="s">
        <v>129</v>
      </c>
      <c r="D7" s="215"/>
      <c r="F7" s="217" t="s">
        <v>130</v>
      </c>
      <c r="G7" s="249" t="s">
        <v>1467</v>
      </c>
      <c r="H7" s="96"/>
      <c r="I7" s="217" t="s">
        <v>131</v>
      </c>
      <c r="J7" s="325" t="s">
        <v>1504</v>
      </c>
      <c r="L7" s="96"/>
      <c r="M7" s="217"/>
      <c r="N7" s="217" t="s">
        <v>132</v>
      </c>
      <c r="O7" s="250" t="s">
        <v>1488</v>
      </c>
      <c r="P7" s="96"/>
      <c r="Q7" s="217"/>
      <c r="U7" s="97"/>
      <c r="V7" s="77"/>
    </row>
    <row r="8" spans="3:41" s="37" customFormat="1" ht="21">
      <c r="C8" s="219" t="s">
        <v>133</v>
      </c>
      <c r="D8" s="216" t="s">
        <v>1511</v>
      </c>
      <c r="F8" s="217" t="s">
        <v>134</v>
      </c>
      <c r="G8" s="249" t="s">
        <v>1468</v>
      </c>
      <c r="H8" s="96"/>
      <c r="I8" s="217" t="s">
        <v>135</v>
      </c>
      <c r="J8" s="250" t="s">
        <v>1473</v>
      </c>
      <c r="L8" s="220"/>
      <c r="M8" s="217"/>
      <c r="N8" s="226" t="s">
        <v>140</v>
      </c>
      <c r="O8" s="250" t="s">
        <v>1486</v>
      </c>
      <c r="P8" s="96"/>
      <c r="Q8" s="217"/>
      <c r="U8" s="98"/>
      <c r="V8" s="78"/>
    </row>
    <row r="9" spans="3:41" s="37" customFormat="1" ht="21">
      <c r="C9" s="219" t="s">
        <v>137</v>
      </c>
      <c r="D9" s="248" t="s">
        <v>1512</v>
      </c>
      <c r="F9" s="217" t="s">
        <v>138</v>
      </c>
      <c r="G9" s="249" t="s">
        <v>1469</v>
      </c>
      <c r="I9" s="217" t="s">
        <v>139</v>
      </c>
      <c r="J9" s="249" t="s">
        <v>1474</v>
      </c>
      <c r="L9" s="96"/>
      <c r="M9" s="96"/>
      <c r="P9" s="96"/>
      <c r="Q9" s="217"/>
      <c r="U9" s="99"/>
      <c r="V9" s="70"/>
    </row>
    <row r="10" spans="3:41" s="37" customFormat="1" ht="21">
      <c r="C10" s="219" t="s">
        <v>141</v>
      </c>
      <c r="D10" s="248" t="s">
        <v>1464</v>
      </c>
      <c r="F10" s="217" t="s">
        <v>136</v>
      </c>
      <c r="G10" s="249" t="s">
        <v>1487</v>
      </c>
      <c r="I10" s="217" t="s">
        <v>142</v>
      </c>
      <c r="J10" s="216" t="s">
        <v>1509</v>
      </c>
      <c r="L10" s="96"/>
      <c r="M10" s="96"/>
      <c r="P10" s="96"/>
      <c r="Q10" s="217"/>
      <c r="U10" s="99"/>
      <c r="V10" s="70"/>
    </row>
    <row r="11" spans="3:41" s="37" customFormat="1" ht="21">
      <c r="C11" s="219" t="s">
        <v>143</v>
      </c>
      <c r="D11" s="248" t="s">
        <v>1465</v>
      </c>
      <c r="F11" s="217" t="s">
        <v>1434</v>
      </c>
      <c r="G11" s="249" t="s">
        <v>1470</v>
      </c>
      <c r="H11" s="96"/>
      <c r="I11" s="217" t="s">
        <v>144</v>
      </c>
      <c r="J11" s="216"/>
      <c r="L11" s="96"/>
      <c r="M11" s="96"/>
      <c r="P11" s="96"/>
      <c r="Q11" s="217"/>
      <c r="U11" s="99"/>
      <c r="V11" s="70"/>
    </row>
    <row r="12" spans="3:41" s="37" customFormat="1" ht="39.75" customHeight="1">
      <c r="C12" s="219" t="s">
        <v>145</v>
      </c>
      <c r="D12" s="248" t="s">
        <v>1466</v>
      </c>
      <c r="F12" s="217" t="s">
        <v>1433</v>
      </c>
      <c r="G12" s="249" t="s">
        <v>1471</v>
      </c>
      <c r="H12" s="96"/>
      <c r="I12" s="96"/>
      <c r="J12" s="221"/>
      <c r="K12" s="222"/>
      <c r="L12" s="96"/>
      <c r="M12" s="96"/>
      <c r="P12" s="96"/>
      <c r="Q12" s="96"/>
      <c r="R12" s="96"/>
      <c r="S12" s="223"/>
      <c r="T12" s="223"/>
      <c r="U12" s="100"/>
      <c r="V12" s="70"/>
    </row>
    <row r="13" spans="3:41" s="37" customFormat="1" ht="21.6" thickBot="1">
      <c r="C13" s="101"/>
      <c r="D13" s="102"/>
      <c r="E13" s="103"/>
      <c r="F13" s="196"/>
      <c r="G13" s="196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3" t="s">
        <v>146</v>
      </c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5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8" t="s">
        <v>147</v>
      </c>
      <c r="E17" s="348"/>
      <c r="F17" s="119"/>
      <c r="G17" s="348" t="s">
        <v>148</v>
      </c>
      <c r="H17" s="348"/>
      <c r="I17" s="119"/>
      <c r="J17" s="119"/>
      <c r="K17" s="348" t="s">
        <v>149</v>
      </c>
      <c r="L17" s="348"/>
      <c r="M17" s="348"/>
      <c r="N17" s="348"/>
      <c r="O17" s="348"/>
      <c r="P17" s="348"/>
      <c r="Q17" s="348"/>
      <c r="R17" s="348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7" t="s">
        <v>0</v>
      </c>
      <c r="E19" s="240"/>
      <c r="F19" s="127"/>
      <c r="G19" s="128" t="s">
        <v>150</v>
      </c>
      <c r="H19" s="251">
        <f ca="1">IF(H26&gt;0,H26,(SUM(H20:H25)))</f>
        <v>0</v>
      </c>
      <c r="I19" s="129"/>
      <c r="J19" s="115"/>
      <c r="K19" s="191" t="s">
        <v>151</v>
      </c>
      <c r="L19" s="192"/>
      <c r="M19" s="201" t="s">
        <v>152</v>
      </c>
      <c r="N19" s="130" t="s">
        <v>153</v>
      </c>
      <c r="O19" s="346" t="s">
        <v>154</v>
      </c>
      <c r="P19" s="347"/>
      <c r="Q19" s="201" t="s">
        <v>152</v>
      </c>
      <c r="R19" s="130" t="s">
        <v>153</v>
      </c>
      <c r="S19" s="129"/>
      <c r="T19" s="129"/>
      <c r="U19" s="88"/>
      <c r="V19" s="130" t="s">
        <v>1510</v>
      </c>
    </row>
    <row r="20" spans="3:24" s="4" customFormat="1" ht="45.9" customHeight="1">
      <c r="C20" s="121"/>
      <c r="D20" s="228" t="s">
        <v>113</v>
      </c>
      <c r="E20" s="241"/>
      <c r="F20" s="133"/>
      <c r="G20" s="134" t="s">
        <v>54</v>
      </c>
      <c r="H20" s="265">
        <f ca="1">SUMIF(C51:C201,'Data Validation'!A2,S51:S201)+SUMIF(C206:C220,'Data Validation'!A2,S206:S211)</f>
        <v>0</v>
      </c>
      <c r="I20" s="135" t="s">
        <v>155</v>
      </c>
      <c r="J20" s="122"/>
      <c r="K20" s="136" t="s">
        <v>64</v>
      </c>
      <c r="L20" s="256">
        <f>W49</f>
        <v>0</v>
      </c>
      <c r="M20" s="190" t="s">
        <v>65</v>
      </c>
      <c r="N20" s="258">
        <f>VLOOKUP(CONCATENATE("# Cut &amp; Prep NON-LEATHER",L20),'TCT Lookup'!A:E,5,FALSE)</f>
        <v>0</v>
      </c>
      <c r="O20" s="136" t="s">
        <v>99</v>
      </c>
      <c r="P20" s="256">
        <f>AF49</f>
        <v>0</v>
      </c>
      <c r="Q20" s="137" t="s">
        <v>100</v>
      </c>
      <c r="R20" s="262">
        <f>IFERROR(VLOOKUP(CONCATENATE("# Bottom pieces",P20),'TCT Lookup'!A:E,5,FALSE),0)</f>
        <v>0</v>
      </c>
      <c r="S20" s="138"/>
      <c r="T20" s="138"/>
      <c r="U20" s="124"/>
      <c r="V20" s="262">
        <f ca="1">SUMIF(C206:C220,'Data Validation'!A2,S206:S211)</f>
        <v>0</v>
      </c>
    </row>
    <row r="21" spans="3:24" s="4" customFormat="1" ht="45.9" customHeight="1" thickBot="1">
      <c r="C21" s="121"/>
      <c r="D21" s="230" t="s">
        <v>114</v>
      </c>
      <c r="E21" s="323"/>
      <c r="F21" s="96"/>
      <c r="G21" s="141" t="s">
        <v>55</v>
      </c>
      <c r="H21" s="265">
        <f ca="1">SUMIF(C51:C201,'Data Validation'!A3,S51:S201)+SUMIF(C206:C220,'Data Validation'!A3,S206:S211)</f>
        <v>0</v>
      </c>
      <c r="I21" s="135" t="s">
        <v>155</v>
      </c>
      <c r="J21" s="142"/>
      <c r="K21" s="143" t="s">
        <v>66</v>
      </c>
      <c r="L21" s="257">
        <f>X49</f>
        <v>0</v>
      </c>
      <c r="M21" s="190" t="s">
        <v>67</v>
      </c>
      <c r="N21" s="259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2" t="s">
        <v>102</v>
      </c>
      <c r="R21" s="259">
        <f>IFERROR(VLOOKUP(CONCATENATE("# Recess points and # Emboss/deboss windows",P21),'TCT Lookup'!A:E,5,FALSE),0)</f>
        <v>0.21419140343483287</v>
      </c>
      <c r="S21" s="122"/>
      <c r="T21" s="122"/>
      <c r="U21" s="124"/>
      <c r="V21" s="263">
        <f ca="1">SUMIF(C206:C220,'Data Validation'!A3,S206:S211)</f>
        <v>0</v>
      </c>
    </row>
    <row r="22" spans="3:24" s="4" customFormat="1" ht="21.6" thickBot="1">
      <c r="C22" s="121"/>
      <c r="D22" s="229" t="s">
        <v>116</v>
      </c>
      <c r="E22" s="242" t="s">
        <v>1507</v>
      </c>
      <c r="F22" s="133"/>
      <c r="G22" s="141" t="s">
        <v>56</v>
      </c>
      <c r="H22" s="265">
        <f ca="1">SUMIF(C51:C201,'Data Validation'!A4,S51:S201)+SUMIF(C206:C220,'Data Validation'!A4,S206:S211)</f>
        <v>0</v>
      </c>
      <c r="I22" s="135" t="s">
        <v>155</v>
      </c>
      <c r="J22" s="122"/>
      <c r="K22" s="149" t="s">
        <v>68</v>
      </c>
      <c r="L22" s="257">
        <f>Y49</f>
        <v>0</v>
      </c>
      <c r="M22" s="190" t="s">
        <v>69</v>
      </c>
      <c r="N22" s="259">
        <f>VLOOKUP(CONCATENATE("# Cut &amp; Prep LEATHER",L22),'TCT Lookup'!A:E,5,FALSE)</f>
        <v>0</v>
      </c>
      <c r="O22" s="346" t="s">
        <v>156</v>
      </c>
      <c r="P22" s="347"/>
      <c r="Q22" s="203"/>
      <c r="R22" s="148" t="s">
        <v>153</v>
      </c>
      <c r="S22" s="138"/>
      <c r="T22" s="138"/>
      <c r="U22" s="124"/>
      <c r="V22" s="263">
        <f ca="1">SUMIF(C206:C220,'Data Validation'!A4,S206:S211)</f>
        <v>0</v>
      </c>
    </row>
    <row r="23" spans="3:24" s="4" customFormat="1" ht="21">
      <c r="C23" s="121"/>
      <c r="D23" s="229" t="s">
        <v>118</v>
      </c>
      <c r="E23" s="242" t="s">
        <v>1508</v>
      </c>
      <c r="F23" s="133"/>
      <c r="G23" s="149" t="s">
        <v>57</v>
      </c>
      <c r="H23" s="265">
        <f ca="1">SUMIF(C51:C201,'Data Validation'!A5,S51:S201)+SUMIF(C206:C220,'Data Validation'!A5,S206:S211)</f>
        <v>0</v>
      </c>
      <c r="I23" s="135" t="s">
        <v>155</v>
      </c>
      <c r="J23" s="122"/>
      <c r="K23" s="141" t="s">
        <v>157</v>
      </c>
      <c r="L23" s="257">
        <f>Z49</f>
        <v>0</v>
      </c>
      <c r="M23" s="190" t="s">
        <v>70</v>
      </c>
      <c r="N23" s="259">
        <f>IFERROR(VLOOKUP(CONCATENATE("# Cut &amp; Prep LEATHER PAIR MATCHING",L23),'TCT Lookup'!A:E,5,FALSE),0)</f>
        <v>0</v>
      </c>
      <c r="O23" s="150" t="s">
        <v>1447</v>
      </c>
      <c r="P23" s="245"/>
      <c r="Q23" s="204" t="s">
        <v>103</v>
      </c>
      <c r="R23" s="262">
        <f>IFERROR(VLOOKUP(CONCATENATE("Heel counter",P23),'TCT Lookup'!A:E,5,FALSE),0)</f>
        <v>0</v>
      </c>
      <c r="S23" s="138"/>
      <c r="T23" s="138"/>
      <c r="U23" s="124"/>
      <c r="V23" s="263">
        <f ca="1">SUMIF(C206:C220,'Data Validation'!A5,S206:S211)</f>
        <v>0</v>
      </c>
    </row>
    <row r="24" spans="3:24" s="16" customFormat="1" ht="21">
      <c r="C24" s="151"/>
      <c r="D24" s="229" t="s">
        <v>117</v>
      </c>
      <c r="E24" s="243" t="s">
        <v>1476</v>
      </c>
      <c r="F24" s="96"/>
      <c r="G24" s="141" t="s">
        <v>58</v>
      </c>
      <c r="H24" s="265">
        <f ca="1">SUMIF(C51:C201,'Data Validation'!A6,S51:S201)+SUMIF(C206:C220,'Data Validation'!A6,S206:S211)</f>
        <v>0</v>
      </c>
      <c r="I24" s="135" t="s">
        <v>155</v>
      </c>
      <c r="J24" s="142"/>
      <c r="K24" s="141" t="s">
        <v>1446</v>
      </c>
      <c r="L24" s="319"/>
      <c r="M24" s="320" t="s">
        <v>70</v>
      </c>
      <c r="N24" s="259">
        <f>IFERROR(VLOOKUP(CONCATENATE("Shoes Height",L24),'TCT Lookup'!A:E,5,FALSE),0)</f>
        <v>0</v>
      </c>
      <c r="O24" s="321" t="s">
        <v>1448</v>
      </c>
      <c r="P24" s="246"/>
      <c r="Q24" s="205" t="s">
        <v>103</v>
      </c>
      <c r="R24" s="263">
        <f>IFERROR(VLOOKUP(CONCATENATE("Heel counter",P24),'TCT Lookup'!A:E,5,FALSE),0)</f>
        <v>0</v>
      </c>
      <c r="S24" s="142"/>
      <c r="T24" s="142"/>
      <c r="U24" s="153"/>
      <c r="V24" s="263">
        <f ca="1">SUMIF(C206:C220,'Data Validation'!A6,S206:S211)</f>
        <v>0</v>
      </c>
    </row>
    <row r="25" spans="3:24" s="4" customFormat="1" ht="21">
      <c r="C25" s="121"/>
      <c r="D25" s="228" t="s">
        <v>121</v>
      </c>
      <c r="E25" s="342" t="s">
        <v>1477</v>
      </c>
      <c r="F25" s="133"/>
      <c r="G25" s="141" t="s">
        <v>59</v>
      </c>
      <c r="H25" s="265">
        <f ca="1">SUMIF(C51:C201,'Data Validation'!A7,S51:S201)+SUMIF(C206:C220,'Data Validation'!A7,S206:S211)</f>
        <v>0</v>
      </c>
      <c r="I25" s="135" t="s">
        <v>155</v>
      </c>
      <c r="J25" s="122"/>
      <c r="K25" s="143" t="s">
        <v>71</v>
      </c>
      <c r="L25" s="257">
        <f>AA49</f>
        <v>0</v>
      </c>
      <c r="M25" s="190" t="s">
        <v>72</v>
      </c>
      <c r="N25" s="259">
        <f>VLOOKUP(CONCATENATE("# Stitched upper pieces",L25),'TCT Lookup'!A:E,5,FALSE)</f>
        <v>0</v>
      </c>
      <c r="O25" s="152" t="s">
        <v>4</v>
      </c>
      <c r="P25" s="246"/>
      <c r="Q25" s="205" t="s">
        <v>104</v>
      </c>
      <c r="R25" s="263">
        <f>IFERROR(VLOOKUP(CONCATENATE(O25,P25),'TCT Lookup'!A:E,5,FALSE),0)</f>
        <v>0</v>
      </c>
      <c r="S25" s="138"/>
      <c r="T25" s="138"/>
      <c r="U25" s="124"/>
      <c r="V25" s="263">
        <f ca="1">SUMIF(C206:C220,'Data Validation'!A7,S206:S211)</f>
        <v>0</v>
      </c>
    </row>
    <row r="26" spans="3:24" ht="21.6" thickBot="1">
      <c r="C26" s="121"/>
      <c r="D26" s="233" t="s">
        <v>122</v>
      </c>
      <c r="E26" s="244" t="s">
        <v>1478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7">
        <f>AB49</f>
        <v>0</v>
      </c>
      <c r="M26" s="190" t="s">
        <v>74</v>
      </c>
      <c r="N26" s="259">
        <f>VLOOKUP(CONCATENATE("# Stitch &amp; turns",L26),'TCT Lookup'!A:E,5,FALSE)</f>
        <v>0</v>
      </c>
      <c r="O26" s="152" t="s">
        <v>5</v>
      </c>
      <c r="P26" s="246"/>
      <c r="Q26" s="205" t="s">
        <v>105</v>
      </c>
      <c r="R26" s="263">
        <f>IFERROR(VLOOKUP(CONCATENATE(O26,P26),'TCT Lookup'!A:E,5,FALSE),0)</f>
        <v>0</v>
      </c>
      <c r="S26" s="155"/>
      <c r="T26" s="155"/>
      <c r="U26" s="88"/>
      <c r="V26" s="261"/>
    </row>
    <row r="27" spans="3:24" s="4" customFormat="1" ht="56.25" customHeight="1" thickBot="1">
      <c r="C27" s="121"/>
      <c r="F27" s="133"/>
      <c r="G27" s="128" t="s">
        <v>119</v>
      </c>
      <c r="H27" s="252">
        <f>SUM(H28:H31)</f>
        <v>43.945290884131019</v>
      </c>
      <c r="I27" s="156"/>
      <c r="J27" s="122"/>
      <c r="K27" s="143" t="s">
        <v>75</v>
      </c>
      <c r="L27" s="257">
        <f>AC49</f>
        <v>0</v>
      </c>
      <c r="M27" s="190" t="s">
        <v>76</v>
      </c>
      <c r="N27" s="259">
        <f>IFERROR(VLOOKUP(CONCATENATE("# Folded edges",L27),'TCT Lookup'!A:E,5,FALSE),0)</f>
        <v>0</v>
      </c>
      <c r="O27" s="321" t="s">
        <v>1450</v>
      </c>
      <c r="P27" s="246"/>
      <c r="R27" s="263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4">
        <f>SUM(E29:E30)</f>
        <v>8</v>
      </c>
      <c r="F28" s="96"/>
      <c r="G28" s="141" t="s">
        <v>159</v>
      </c>
      <c r="H28" s="253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7"/>
      <c r="M28" s="190" t="s">
        <v>77</v>
      </c>
      <c r="N28" s="259">
        <f>IFERROR(VLOOKUP(CONCATENATE("Special upper construction",L28),'TCT Lookup'!A:E,5,FALSE),0)</f>
        <v>0</v>
      </c>
      <c r="O28" s="152" t="s">
        <v>6</v>
      </c>
      <c r="P28" s="246"/>
      <c r="Q28" s="205" t="s">
        <v>106</v>
      </c>
      <c r="R28" s="263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3">
        <f>SUM(R20:R21)*E28</f>
        <v>1.7135312274786629</v>
      </c>
      <c r="I29" s="158" t="s">
        <v>163</v>
      </c>
      <c r="J29" s="142"/>
      <c r="K29" s="349" t="s">
        <v>161</v>
      </c>
      <c r="L29" s="350"/>
      <c r="M29" s="350"/>
      <c r="N29" s="351"/>
      <c r="O29" s="152" t="s">
        <v>158</v>
      </c>
      <c r="P29" s="318">
        <f>AG49</f>
        <v>0</v>
      </c>
      <c r="Q29" s="159" t="s">
        <v>108</v>
      </c>
      <c r="R29" s="263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3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59">
        <f>IFERROR(VLOOKUP(CONCATENATE("# Punch holes",L30),'TCT Lookup'!A:E,5,FALSE),0)</f>
        <v>5.1502145922746781E-2</v>
      </c>
      <c r="O30" s="152" t="s">
        <v>7</v>
      </c>
      <c r="P30" s="246"/>
      <c r="Q30" s="205" t="s">
        <v>109</v>
      </c>
      <c r="R30" s="263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3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59">
        <f>IFERROR(VLOOKUP(CONCATENATE("# Metal eyelets",L31),'TCT Lookup'!A:E,5,FALSE),0)</f>
        <v>0.41201716738197425</v>
      </c>
      <c r="O31" s="160" t="s">
        <v>8</v>
      </c>
      <c r="P31" s="247"/>
      <c r="Q31" s="206" t="s">
        <v>110</v>
      </c>
      <c r="R31" s="264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36">
        <v>5</v>
      </c>
      <c r="F32" s="96"/>
      <c r="G32" s="128" t="s">
        <v>168</v>
      </c>
      <c r="H32" s="252">
        <f ca="1">(H19+H27)*(E32/100)</f>
        <v>2.197264544206551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59">
        <f>IFERROR(VLOOKUP(CONCATENATE("# Lace loops (inserted)",L32),'TCT Lookup'!A:E,5,FALSE),0)</f>
        <v>0.90128755364806856</v>
      </c>
      <c r="O32" s="346" t="s">
        <v>165</v>
      </c>
      <c r="P32" s="347"/>
      <c r="Q32" s="207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36">
        <v>5</v>
      </c>
      <c r="F33" s="133"/>
      <c r="G33" s="128" t="s">
        <v>170</v>
      </c>
      <c r="H33" s="166">
        <v>0</v>
      </c>
      <c r="I33" s="167"/>
      <c r="J33" s="122"/>
      <c r="K33" s="143" t="s">
        <v>84</v>
      </c>
      <c r="L33" s="159">
        <v>1</v>
      </c>
      <c r="M33" s="159" t="s">
        <v>85</v>
      </c>
      <c r="N33" s="259">
        <f>IFERROR(VLOOKUP(CONCATENATE("# Lace loops (stitched on)",L33),'TCT Lookup'!A:E,5,FALSE),0)</f>
        <v>0.33476394849785407</v>
      </c>
      <c r="O33" s="214"/>
      <c r="P33" s="341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208" t="s">
        <v>111</v>
      </c>
      <c r="R33" s="341">
        <f>SUM(R34:R39)</f>
        <v>0</v>
      </c>
      <c r="S33" s="122"/>
      <c r="T33" s="122"/>
      <c r="U33" s="124"/>
    </row>
    <row r="34" spans="3:33" s="4" customFormat="1" ht="42.6" thickBot="1">
      <c r="C34" s="151"/>
      <c r="D34" s="164"/>
      <c r="E34" s="165"/>
      <c r="F34" s="122"/>
      <c r="G34" s="128" t="s">
        <v>1438</v>
      </c>
      <c r="H34" s="252">
        <f ca="1">IF(ISERROR((H19+H27+H32+H33)/(1/(E33/100)-1)),0,(H19+H27+H32+H33)/(1/(E33/100)-1))</f>
        <v>2.4285555488598725</v>
      </c>
      <c r="I34" s="167"/>
      <c r="J34" s="122"/>
      <c r="K34" s="157" t="s">
        <v>86</v>
      </c>
      <c r="L34" s="145">
        <v>1</v>
      </c>
      <c r="M34" s="159" t="s">
        <v>87</v>
      </c>
      <c r="N34" s="260">
        <f>IFERROR(VLOOKUP(CONCATENATE("# Ghillies",L34),'TCT Lookup'!A:E,5,FALSE),0)</f>
        <v>0.36051502145922748</v>
      </c>
      <c r="O34" s="162"/>
      <c r="P34" s="341"/>
      <c r="Q34" s="163"/>
      <c r="R34" s="341">
        <v>0</v>
      </c>
      <c r="S34" s="122"/>
      <c r="T34" s="122"/>
      <c r="U34" s="124"/>
    </row>
    <row r="35" spans="3:33" s="16" customFormat="1" ht="21.6" thickBot="1">
      <c r="C35" s="121"/>
      <c r="D35" s="164"/>
      <c r="E35" s="165"/>
      <c r="F35" s="142"/>
      <c r="G35" s="169" t="s">
        <v>1445</v>
      </c>
      <c r="H35" s="252">
        <f ca="1">H19+H27+H32+H33+H34</f>
        <v>48.571110977197449</v>
      </c>
      <c r="I35" s="142"/>
      <c r="J35" s="142"/>
      <c r="K35" s="343" t="s">
        <v>171</v>
      </c>
      <c r="L35" s="344"/>
      <c r="M35" s="344"/>
      <c r="N35" s="345"/>
      <c r="O35" s="162"/>
      <c r="P35" s="161"/>
      <c r="Q35" s="161"/>
      <c r="R35" s="161"/>
      <c r="S35" s="142"/>
      <c r="T35" s="142"/>
      <c r="U35" s="153"/>
    </row>
    <row r="36" spans="3:33" s="4" customFormat="1" ht="42">
      <c r="C36" s="121"/>
      <c r="D36" s="168"/>
      <c r="E36" s="168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59">
        <f>IFERROR(VLOOKUP(CONCATENATE("# Lock stitch/overlock stitch/Flat stitch",L36),'TCT Lookup'!A:E,5,FALSE),0)</f>
        <v>0.38626609442060089</v>
      </c>
      <c r="O36" s="162"/>
      <c r="P36" s="161"/>
      <c r="Q36" s="161"/>
      <c r="R36" s="161"/>
      <c r="S36" s="122"/>
      <c r="T36" s="122"/>
      <c r="U36" s="124"/>
    </row>
    <row r="37" spans="3:33" s="4" customFormat="1" ht="21">
      <c r="C37" s="151"/>
      <c r="D37" s="170"/>
      <c r="E37" s="165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59">
        <f>IFERROR(VLOOKUP(CONCATENATE("# Box stitch",L37),'TCT Lookup'!A:E,5,FALSE),0)</f>
        <v>0.36051502145922748</v>
      </c>
      <c r="O37" s="162"/>
      <c r="P37" s="163"/>
      <c r="Q37" s="163"/>
      <c r="R37" s="163">
        <v>0</v>
      </c>
      <c r="S37" s="122"/>
      <c r="T37" s="122"/>
      <c r="U37" s="124"/>
    </row>
    <row r="38" spans="3:33" s="16" customFormat="1" ht="21" customHeight="1" thickBot="1">
      <c r="C38" s="121"/>
      <c r="D38" s="171"/>
      <c r="E38" s="172"/>
      <c r="F38" s="142"/>
      <c r="G38" s="164"/>
      <c r="H38" s="177"/>
      <c r="I38" s="129"/>
      <c r="J38" s="142"/>
      <c r="K38" s="143" t="s">
        <v>90</v>
      </c>
      <c r="L38" s="159">
        <v>1</v>
      </c>
      <c r="M38" s="159" t="s">
        <v>91</v>
      </c>
      <c r="N38" s="260">
        <f>IFERROR(VLOOKUP(CONCATENATE("# Triple stitch",L38),'TCT Lookup'!A:E,5,FALSE),0)</f>
        <v>0.54077253218884114</v>
      </c>
      <c r="O38" s="162"/>
      <c r="P38" s="161"/>
      <c r="Q38" s="161"/>
      <c r="R38" s="161">
        <v>0</v>
      </c>
      <c r="S38" s="172"/>
      <c r="T38" s="172"/>
      <c r="U38" s="153"/>
    </row>
    <row r="39" spans="3:33" s="16" customFormat="1" ht="21.6" thickBot="1">
      <c r="C39" s="173"/>
      <c r="D39" s="142"/>
      <c r="E39" s="174"/>
      <c r="F39" s="142"/>
      <c r="G39" s="164"/>
      <c r="H39" s="177"/>
      <c r="I39" s="142"/>
      <c r="J39" s="142"/>
      <c r="K39" s="343" t="s">
        <v>174</v>
      </c>
      <c r="L39" s="344"/>
      <c r="M39" s="344"/>
      <c r="N39" s="345"/>
      <c r="O39" s="175"/>
      <c r="P39" s="176"/>
      <c r="Q39" s="176"/>
      <c r="R39" s="176">
        <v>0</v>
      </c>
      <c r="S39" s="142"/>
      <c r="T39" s="142"/>
      <c r="U39" s="153"/>
    </row>
    <row r="40" spans="3:33" s="38" customFormat="1" ht="24" customHeight="1">
      <c r="C40" s="151"/>
      <c r="D40" s="142"/>
      <c r="E40" s="174"/>
      <c r="F40" s="181"/>
      <c r="G40" s="164"/>
      <c r="H40" s="177"/>
      <c r="I40" s="181"/>
      <c r="J40" s="181"/>
      <c r="K40" s="136" t="s">
        <v>92</v>
      </c>
      <c r="L40" s="256">
        <f>AD49</f>
        <v>0</v>
      </c>
      <c r="M40" s="137" t="s">
        <v>93</v>
      </c>
      <c r="N40" s="258">
        <f>IFERROR(VLOOKUP(CONCATENATE("# English (incl. piping)",L40),'TCT Lookup'!A:E,5,FALSE),0)</f>
        <v>0</v>
      </c>
      <c r="O40" s="178"/>
      <c r="P40" s="179"/>
      <c r="Q40" s="209"/>
      <c r="R40" s="180"/>
      <c r="S40" s="181"/>
      <c r="T40" s="181"/>
      <c r="U40" s="184"/>
    </row>
    <row r="41" spans="3:33" s="38" customFormat="1" ht="24" customHeight="1" thickBot="1">
      <c r="C41" s="182"/>
      <c r="D41" s="181"/>
      <c r="E41" s="174"/>
      <c r="F41" s="181"/>
      <c r="G41" s="185"/>
      <c r="H41" s="186"/>
      <c r="I41" s="181"/>
      <c r="J41" s="181"/>
      <c r="K41" s="143" t="s">
        <v>94</v>
      </c>
      <c r="L41" s="257">
        <f>AE49</f>
        <v>0</v>
      </c>
      <c r="M41" s="159" t="s">
        <v>95</v>
      </c>
      <c r="N41" s="259">
        <f>IFERROR(VLOOKUP(CONCATENATE("# French binding",L41),'TCT Lookup'!A:E,5,FALSE),0)</f>
        <v>0</v>
      </c>
      <c r="O41" s="96"/>
      <c r="P41" s="96"/>
      <c r="Q41" s="96"/>
      <c r="R41" s="96"/>
      <c r="S41" s="181"/>
      <c r="T41" s="181"/>
      <c r="U41" s="184"/>
    </row>
    <row r="42" spans="3:33" s="16" customFormat="1" ht="21.9" customHeight="1" thickBot="1">
      <c r="C42" s="151"/>
      <c r="D42" s="142"/>
      <c r="E42" s="174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59">
        <f>IFERROR(VLOOKUP(CONCATENATE("# No sew binding",L42),'TCT Lookup'!A:E,5,FALSE),0)</f>
        <v>1.9313304721030042</v>
      </c>
      <c r="O42" s="183"/>
      <c r="P42" s="213" t="s">
        <v>175</v>
      </c>
      <c r="Q42" s="212"/>
      <c r="R42" s="255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7"/>
      <c r="M43" s="311" t="s">
        <v>98</v>
      </c>
      <c r="N43" s="261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312"/>
      <c r="N44" s="7"/>
      <c r="O44" s="8"/>
      <c r="Q44" s="210"/>
      <c r="U44" s="28"/>
    </row>
    <row r="45" spans="3:33" s="5" customFormat="1" ht="23.1" customHeight="1">
      <c r="C45" s="27"/>
      <c r="F45" s="19"/>
      <c r="J45" s="6"/>
      <c r="K45" s="6"/>
      <c r="L45" s="6"/>
      <c r="M45" s="312"/>
      <c r="N45" s="7"/>
      <c r="O45" s="8"/>
      <c r="Q45" s="210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1"/>
      <c r="N46" s="34"/>
      <c r="O46" s="34"/>
      <c r="P46" s="34"/>
      <c r="Q46" s="211"/>
      <c r="R46" s="34"/>
      <c r="S46" s="34"/>
      <c r="T46" s="34"/>
      <c r="U46" s="35"/>
    </row>
    <row r="47" spans="3:33" s="5" customFormat="1" ht="13.8" thickBot="1">
      <c r="M47" s="210"/>
      <c r="Q47" s="210"/>
    </row>
    <row r="48" spans="3:33" s="10" customFormat="1" ht="36" thickBot="1">
      <c r="C48" s="237" t="s">
        <v>176</v>
      </c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9"/>
      <c r="V48" s="68"/>
      <c r="W48" s="82" t="s">
        <v>151</v>
      </c>
      <c r="X48" s="187"/>
      <c r="Y48" s="187"/>
      <c r="Z48" s="187"/>
      <c r="AA48" s="187"/>
      <c r="AB48" s="187"/>
      <c r="AC48" s="187"/>
      <c r="AD48" s="187"/>
      <c r="AE48" s="187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2">
        <f t="shared" ref="W49:AG49" si="0">SUM(W51:W213)</f>
        <v>0</v>
      </c>
      <c r="X49" s="302">
        <f t="shared" si="0"/>
        <v>0</v>
      </c>
      <c r="Y49" s="302">
        <f t="shared" si="0"/>
        <v>0</v>
      </c>
      <c r="Z49" s="302">
        <f t="shared" si="0"/>
        <v>0</v>
      </c>
      <c r="AA49" s="302">
        <f t="shared" si="0"/>
        <v>0</v>
      </c>
      <c r="AB49" s="302">
        <f t="shared" si="0"/>
        <v>0</v>
      </c>
      <c r="AC49" s="302">
        <f t="shared" si="0"/>
        <v>0</v>
      </c>
      <c r="AD49" s="302">
        <f t="shared" si="0"/>
        <v>0</v>
      </c>
      <c r="AE49" s="302">
        <f t="shared" si="0"/>
        <v>0</v>
      </c>
      <c r="AF49" s="302">
        <f t="shared" si="0"/>
        <v>0</v>
      </c>
      <c r="AG49" s="303">
        <f t="shared" si="0"/>
        <v>0</v>
      </c>
      <c r="AH49" s="81"/>
    </row>
    <row r="50" spans="3:34" s="21" customFormat="1" ht="57.9" customHeight="1" thickBot="1">
      <c r="C50" s="188" t="s">
        <v>177</v>
      </c>
      <c r="D50" s="188" t="s">
        <v>178</v>
      </c>
      <c r="E50" s="188" t="s">
        <v>179</v>
      </c>
      <c r="F50" s="188" t="s">
        <v>180</v>
      </c>
      <c r="G50" s="188" t="s">
        <v>181</v>
      </c>
      <c r="H50" s="188" t="s">
        <v>182</v>
      </c>
      <c r="I50" s="188" t="s">
        <v>183</v>
      </c>
      <c r="J50" s="188" t="s">
        <v>184</v>
      </c>
      <c r="K50" s="188" t="s">
        <v>185</v>
      </c>
      <c r="L50" s="188" t="s">
        <v>186</v>
      </c>
      <c r="M50" s="313"/>
      <c r="N50" s="188" t="s">
        <v>187</v>
      </c>
      <c r="O50" s="188" t="s">
        <v>188</v>
      </c>
      <c r="P50" s="47" t="s">
        <v>1435</v>
      </c>
      <c r="Q50" s="188"/>
      <c r="R50" s="188" t="s">
        <v>1436</v>
      </c>
      <c r="S50" s="189" t="s">
        <v>189</v>
      </c>
      <c r="T50" s="189" t="s">
        <v>1479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39.80000000000001" thickBot="1">
      <c r="C51" s="267"/>
      <c r="D51" s="266" t="s">
        <v>1490</v>
      </c>
      <c r="E51" s="268" t="s">
        <v>1491</v>
      </c>
      <c r="F51" s="269" t="s">
        <v>1492</v>
      </c>
      <c r="G51" s="266" t="s">
        <v>1493</v>
      </c>
      <c r="H51" s="270" t="s">
        <v>1494</v>
      </c>
      <c r="I51" s="270" t="s">
        <v>1495</v>
      </c>
      <c r="J51" s="271" t="s">
        <v>1496</v>
      </c>
      <c r="K51" s="54" t="s">
        <v>1497</v>
      </c>
      <c r="L51" s="55" t="s">
        <v>1498</v>
      </c>
      <c r="M51" s="314"/>
      <c r="N51" s="56" t="s">
        <v>1499</v>
      </c>
      <c r="O51" s="55" t="s">
        <v>1500</v>
      </c>
      <c r="P51" s="55" t="s">
        <v>1501</v>
      </c>
      <c r="Q51" s="55"/>
      <c r="R51" s="335" t="e">
        <f>N51*(1+O51)*(1+P51)</f>
        <v>#VALUE!</v>
      </c>
      <c r="S51" s="337" t="e">
        <f>IF(OR(K51&lt;&gt;0,K51&lt;&gt;""),(K51+L51)*R51,R51*(J51+L51))</f>
        <v>#VALUE!</v>
      </c>
      <c r="T51" s="50" t="s">
        <v>1505</v>
      </c>
      <c r="U51" s="74"/>
      <c r="V51" s="71"/>
      <c r="W51" s="304"/>
      <c r="X51" s="305"/>
      <c r="Y51" s="305"/>
      <c r="Z51" s="305"/>
      <c r="AA51" s="305"/>
      <c r="AB51" s="305"/>
      <c r="AC51" s="305"/>
      <c r="AD51" s="305"/>
      <c r="AE51" s="305"/>
      <c r="AF51" s="305"/>
      <c r="AG51" s="306"/>
    </row>
    <row r="52" spans="3:34" s="51" customFormat="1" ht="18" thickBot="1">
      <c r="C52" s="267"/>
      <c r="D52" s="266"/>
      <c r="E52" s="272"/>
      <c r="F52" s="269"/>
      <c r="G52" s="266"/>
      <c r="H52" s="270"/>
      <c r="I52" s="270"/>
      <c r="J52" s="271"/>
      <c r="K52" s="54"/>
      <c r="L52" s="55"/>
      <c r="M52" s="314"/>
      <c r="N52" s="56"/>
      <c r="O52" s="55"/>
      <c r="P52" s="55"/>
      <c r="Q52" s="55"/>
      <c r="R52" s="335">
        <f t="shared" ref="R52:R115" si="1">N52*(1+O52)*(1+P52)</f>
        <v>0</v>
      </c>
      <c r="S52" s="337">
        <f t="shared" ref="S52:S115" si="2">IF(OR(K52&lt;&gt;0,K52&lt;&gt;""),(K52+L52)*R52,R52*(J52+L52))</f>
        <v>0</v>
      </c>
      <c r="T52" s="50"/>
      <c r="U52" s="74"/>
      <c r="V52" s="72"/>
      <c r="W52" s="304"/>
      <c r="X52" s="305"/>
      <c r="Y52" s="305"/>
      <c r="Z52" s="305"/>
      <c r="AA52" s="305"/>
      <c r="AB52" s="305"/>
      <c r="AC52" s="305"/>
      <c r="AD52" s="305"/>
      <c r="AE52" s="305"/>
      <c r="AF52" s="305"/>
      <c r="AG52" s="306"/>
    </row>
    <row r="53" spans="3:34" s="52" customFormat="1" ht="18" thickBot="1">
      <c r="C53" s="267"/>
      <c r="D53" s="266"/>
      <c r="E53" s="268"/>
      <c r="F53" s="269"/>
      <c r="G53" s="272"/>
      <c r="H53" s="273"/>
      <c r="I53" s="273"/>
      <c r="J53" s="274"/>
      <c r="K53" s="54"/>
      <c r="L53" s="55"/>
      <c r="M53" s="314"/>
      <c r="N53" s="56"/>
      <c r="O53" s="55"/>
      <c r="P53" s="55"/>
      <c r="Q53" s="55"/>
      <c r="R53" s="335">
        <f t="shared" si="1"/>
        <v>0</v>
      </c>
      <c r="S53" s="337">
        <f t="shared" si="2"/>
        <v>0</v>
      </c>
      <c r="T53" s="50"/>
      <c r="U53" s="74"/>
      <c r="V53" s="73"/>
      <c r="W53" s="304"/>
      <c r="X53" s="305"/>
      <c r="Y53" s="305"/>
      <c r="Z53" s="305"/>
      <c r="AA53" s="305"/>
      <c r="AB53" s="305"/>
      <c r="AC53" s="305"/>
      <c r="AD53" s="305"/>
      <c r="AE53" s="305"/>
      <c r="AF53" s="305"/>
      <c r="AG53" s="306"/>
    </row>
    <row r="54" spans="3:34" s="49" customFormat="1" ht="18" thickBot="1">
      <c r="C54" s="267"/>
      <c r="D54" s="268"/>
      <c r="E54" s="268"/>
      <c r="F54" s="268"/>
      <c r="G54" s="268"/>
      <c r="H54" s="268"/>
      <c r="I54" s="268"/>
      <c r="J54" s="275"/>
      <c r="K54" s="54"/>
      <c r="L54" s="55"/>
      <c r="M54" s="314"/>
      <c r="N54" s="56"/>
      <c r="O54" s="55"/>
      <c r="P54" s="55"/>
      <c r="Q54" s="55"/>
      <c r="R54" s="335">
        <f t="shared" si="1"/>
        <v>0</v>
      </c>
      <c r="S54" s="337">
        <f t="shared" si="2"/>
        <v>0</v>
      </c>
      <c r="T54" s="50"/>
      <c r="U54" s="74"/>
      <c r="V54" s="71"/>
      <c r="W54" s="304"/>
      <c r="X54" s="305"/>
      <c r="Y54" s="305"/>
      <c r="Z54" s="305"/>
      <c r="AA54" s="305"/>
      <c r="AB54" s="305"/>
      <c r="AC54" s="305"/>
      <c r="AD54" s="305"/>
      <c r="AE54" s="305"/>
      <c r="AF54" s="305"/>
      <c r="AG54" s="306"/>
    </row>
    <row r="55" spans="3:34" s="51" customFormat="1" ht="18" thickBot="1">
      <c r="C55" s="276"/>
      <c r="D55" s="277"/>
      <c r="E55" s="277"/>
      <c r="F55" s="277"/>
      <c r="G55" s="277"/>
      <c r="H55" s="277"/>
      <c r="I55" s="277"/>
      <c r="J55" s="278"/>
      <c r="K55" s="54"/>
      <c r="L55" s="55"/>
      <c r="M55" s="314"/>
      <c r="N55" s="56"/>
      <c r="O55" s="55"/>
      <c r="P55" s="55"/>
      <c r="Q55" s="55"/>
      <c r="R55" s="335">
        <f t="shared" si="1"/>
        <v>0</v>
      </c>
      <c r="S55" s="337">
        <f t="shared" si="2"/>
        <v>0</v>
      </c>
      <c r="T55" s="50"/>
      <c r="U55" s="74"/>
      <c r="V55" s="72"/>
      <c r="W55" s="304"/>
      <c r="X55" s="305"/>
      <c r="Y55" s="305"/>
      <c r="Z55" s="305"/>
      <c r="AA55" s="305"/>
      <c r="AB55" s="305"/>
      <c r="AC55" s="305"/>
      <c r="AD55" s="305"/>
      <c r="AE55" s="305"/>
      <c r="AF55" s="305"/>
      <c r="AG55" s="306"/>
    </row>
    <row r="56" spans="3:34" s="51" customFormat="1" ht="18" thickBot="1">
      <c r="C56" s="327"/>
      <c r="D56" s="328"/>
      <c r="E56" s="328"/>
      <c r="F56" s="328"/>
      <c r="G56" s="328"/>
      <c r="H56" s="328"/>
      <c r="I56" s="328"/>
      <c r="J56" s="329"/>
      <c r="K56" s="330"/>
      <c r="L56" s="331"/>
      <c r="M56" s="332"/>
      <c r="N56" s="333"/>
      <c r="O56" s="331"/>
      <c r="P56" s="331"/>
      <c r="Q56" s="331"/>
      <c r="R56" s="335">
        <f t="shared" si="1"/>
        <v>0</v>
      </c>
      <c r="S56" s="337">
        <f t="shared" si="2"/>
        <v>0</v>
      </c>
      <c r="T56" s="50"/>
      <c r="U56" s="74"/>
      <c r="V56" s="72"/>
      <c r="W56" s="304"/>
      <c r="X56" s="305"/>
      <c r="Y56" s="305"/>
      <c r="Z56" s="305"/>
      <c r="AA56" s="305"/>
      <c r="AB56" s="305"/>
      <c r="AC56" s="305"/>
      <c r="AD56" s="305"/>
      <c r="AE56" s="305"/>
      <c r="AF56" s="305"/>
      <c r="AG56" s="306"/>
    </row>
    <row r="57" spans="3:34" s="51" customFormat="1" ht="18" thickBot="1">
      <c r="C57" s="327"/>
      <c r="D57" s="328"/>
      <c r="E57" s="328"/>
      <c r="F57" s="328"/>
      <c r="G57" s="328"/>
      <c r="H57" s="328"/>
      <c r="I57" s="328"/>
      <c r="J57" s="329"/>
      <c r="K57" s="330"/>
      <c r="L57" s="331"/>
      <c r="M57" s="332"/>
      <c r="N57" s="333"/>
      <c r="O57" s="331"/>
      <c r="P57" s="331"/>
      <c r="Q57" s="331"/>
      <c r="R57" s="335">
        <f t="shared" si="1"/>
        <v>0</v>
      </c>
      <c r="S57" s="337">
        <f t="shared" si="2"/>
        <v>0</v>
      </c>
      <c r="T57" s="50"/>
      <c r="U57" s="74"/>
      <c r="V57" s="72"/>
      <c r="W57" s="304"/>
      <c r="X57" s="305"/>
      <c r="Y57" s="305"/>
      <c r="Z57" s="305"/>
      <c r="AA57" s="305"/>
      <c r="AB57" s="305"/>
      <c r="AC57" s="305"/>
      <c r="AD57" s="305"/>
      <c r="AE57" s="305"/>
      <c r="AF57" s="305"/>
      <c r="AG57" s="306"/>
    </row>
    <row r="58" spans="3:34" s="51" customFormat="1" ht="18" thickBot="1">
      <c r="C58" s="327"/>
      <c r="D58" s="328"/>
      <c r="E58" s="328"/>
      <c r="F58" s="328"/>
      <c r="G58" s="328"/>
      <c r="H58" s="328"/>
      <c r="I58" s="328"/>
      <c r="J58" s="329"/>
      <c r="K58" s="330"/>
      <c r="L58" s="331"/>
      <c r="M58" s="332"/>
      <c r="N58" s="333"/>
      <c r="O58" s="331"/>
      <c r="P58" s="331"/>
      <c r="Q58" s="331"/>
      <c r="R58" s="335">
        <f t="shared" si="1"/>
        <v>0</v>
      </c>
      <c r="S58" s="337">
        <f t="shared" si="2"/>
        <v>0</v>
      </c>
      <c r="T58" s="50"/>
      <c r="U58" s="74"/>
      <c r="V58" s="72"/>
      <c r="W58" s="304"/>
      <c r="X58" s="305"/>
      <c r="Y58" s="305"/>
      <c r="Z58" s="305"/>
      <c r="AA58" s="305"/>
      <c r="AB58" s="305"/>
      <c r="AC58" s="305"/>
      <c r="AD58" s="305"/>
      <c r="AE58" s="305"/>
      <c r="AF58" s="305"/>
      <c r="AG58" s="306"/>
    </row>
    <row r="59" spans="3:34" s="51" customFormat="1" ht="18" thickBot="1">
      <c r="C59" s="327"/>
      <c r="D59" s="328"/>
      <c r="E59" s="328"/>
      <c r="F59" s="328"/>
      <c r="G59" s="328"/>
      <c r="H59" s="328"/>
      <c r="I59" s="328"/>
      <c r="J59" s="329"/>
      <c r="K59" s="330"/>
      <c r="L59" s="331"/>
      <c r="M59" s="332"/>
      <c r="N59" s="333"/>
      <c r="O59" s="331"/>
      <c r="P59" s="331"/>
      <c r="Q59" s="331"/>
      <c r="R59" s="335">
        <f t="shared" si="1"/>
        <v>0</v>
      </c>
      <c r="S59" s="337">
        <f t="shared" si="2"/>
        <v>0</v>
      </c>
      <c r="T59" s="50"/>
      <c r="U59" s="74"/>
      <c r="V59" s="72"/>
      <c r="W59" s="304"/>
      <c r="X59" s="305"/>
      <c r="Y59" s="305"/>
      <c r="Z59" s="305"/>
      <c r="AA59" s="305"/>
      <c r="AB59" s="305"/>
      <c r="AC59" s="305"/>
      <c r="AD59" s="305"/>
      <c r="AE59" s="305"/>
      <c r="AF59" s="305"/>
      <c r="AG59" s="306"/>
    </row>
    <row r="60" spans="3:34" s="51" customFormat="1" ht="18" thickBot="1">
      <c r="C60" s="327"/>
      <c r="D60" s="328"/>
      <c r="E60" s="328"/>
      <c r="F60" s="328"/>
      <c r="G60" s="328"/>
      <c r="H60" s="328"/>
      <c r="I60" s="328"/>
      <c r="J60" s="329"/>
      <c r="K60" s="330"/>
      <c r="L60" s="331"/>
      <c r="M60" s="332"/>
      <c r="N60" s="333"/>
      <c r="O60" s="331"/>
      <c r="P60" s="331"/>
      <c r="Q60" s="331"/>
      <c r="R60" s="335">
        <f t="shared" si="1"/>
        <v>0</v>
      </c>
      <c r="S60" s="337">
        <f t="shared" si="2"/>
        <v>0</v>
      </c>
      <c r="T60" s="50"/>
      <c r="U60" s="74"/>
      <c r="V60" s="72"/>
      <c r="W60" s="304"/>
      <c r="X60" s="305"/>
      <c r="Y60" s="305"/>
      <c r="Z60" s="305"/>
      <c r="AA60" s="305"/>
      <c r="AB60" s="305"/>
      <c r="AC60" s="305"/>
      <c r="AD60" s="305"/>
      <c r="AE60" s="305"/>
      <c r="AF60" s="305"/>
      <c r="AG60" s="306"/>
    </row>
    <row r="61" spans="3:34" s="51" customFormat="1" ht="18" thickBot="1">
      <c r="C61" s="327"/>
      <c r="D61" s="328"/>
      <c r="E61" s="328"/>
      <c r="F61" s="328"/>
      <c r="G61" s="328"/>
      <c r="H61" s="328"/>
      <c r="I61" s="328"/>
      <c r="J61" s="329"/>
      <c r="K61" s="330"/>
      <c r="L61" s="331"/>
      <c r="M61" s="332"/>
      <c r="N61" s="333"/>
      <c r="O61" s="331"/>
      <c r="P61" s="331"/>
      <c r="Q61" s="331"/>
      <c r="R61" s="335">
        <f t="shared" si="1"/>
        <v>0</v>
      </c>
      <c r="S61" s="337">
        <f t="shared" si="2"/>
        <v>0</v>
      </c>
      <c r="T61" s="50"/>
      <c r="U61" s="74"/>
      <c r="V61" s="72"/>
      <c r="W61" s="304"/>
      <c r="X61" s="305"/>
      <c r="Y61" s="305"/>
      <c r="Z61" s="305"/>
      <c r="AA61" s="305"/>
      <c r="AB61" s="305"/>
      <c r="AC61" s="305"/>
      <c r="AD61" s="305"/>
      <c r="AE61" s="305"/>
      <c r="AF61" s="305"/>
      <c r="AG61" s="306"/>
    </row>
    <row r="62" spans="3:34" s="51" customFormat="1" ht="18" thickBot="1">
      <c r="C62" s="327"/>
      <c r="D62" s="328"/>
      <c r="E62" s="328"/>
      <c r="F62" s="328"/>
      <c r="G62" s="328"/>
      <c r="H62" s="328"/>
      <c r="I62" s="328"/>
      <c r="J62" s="329"/>
      <c r="K62" s="330"/>
      <c r="L62" s="331"/>
      <c r="M62" s="332"/>
      <c r="N62" s="333"/>
      <c r="O62" s="331"/>
      <c r="P62" s="331"/>
      <c r="Q62" s="331"/>
      <c r="R62" s="335">
        <f t="shared" si="1"/>
        <v>0</v>
      </c>
      <c r="S62" s="337">
        <f t="shared" si="2"/>
        <v>0</v>
      </c>
      <c r="T62" s="50"/>
      <c r="U62" s="74"/>
      <c r="V62" s="72"/>
      <c r="W62" s="304"/>
      <c r="X62" s="305"/>
      <c r="Y62" s="305"/>
      <c r="Z62" s="305"/>
      <c r="AA62" s="305"/>
      <c r="AB62" s="305"/>
      <c r="AC62" s="305"/>
      <c r="AD62" s="305"/>
      <c r="AE62" s="305"/>
      <c r="AF62" s="305"/>
      <c r="AG62" s="306"/>
    </row>
    <row r="63" spans="3:34" s="51" customFormat="1" ht="18" thickBot="1">
      <c r="C63" s="327"/>
      <c r="D63" s="328"/>
      <c r="E63" s="328"/>
      <c r="F63" s="328"/>
      <c r="G63" s="328"/>
      <c r="H63" s="328"/>
      <c r="I63" s="328"/>
      <c r="J63" s="329"/>
      <c r="K63" s="330"/>
      <c r="L63" s="331"/>
      <c r="M63" s="332"/>
      <c r="N63" s="333"/>
      <c r="O63" s="331"/>
      <c r="P63" s="331"/>
      <c r="Q63" s="331"/>
      <c r="R63" s="335">
        <f t="shared" si="1"/>
        <v>0</v>
      </c>
      <c r="S63" s="337">
        <f t="shared" si="2"/>
        <v>0</v>
      </c>
      <c r="T63" s="50"/>
      <c r="U63" s="74"/>
      <c r="V63" s="72"/>
      <c r="W63" s="304"/>
      <c r="X63" s="305"/>
      <c r="Y63" s="305"/>
      <c r="Z63" s="305"/>
      <c r="AA63" s="305"/>
      <c r="AB63" s="305"/>
      <c r="AC63" s="305"/>
      <c r="AD63" s="305"/>
      <c r="AE63" s="305"/>
      <c r="AF63" s="305"/>
      <c r="AG63" s="306"/>
    </row>
    <row r="64" spans="3:34" s="51" customFormat="1" ht="18" thickBot="1">
      <c r="C64" s="327"/>
      <c r="D64" s="328"/>
      <c r="E64" s="328"/>
      <c r="F64" s="328"/>
      <c r="G64" s="328"/>
      <c r="H64" s="328"/>
      <c r="I64" s="328"/>
      <c r="J64" s="329"/>
      <c r="K64" s="330"/>
      <c r="L64" s="331"/>
      <c r="M64" s="332"/>
      <c r="N64" s="333"/>
      <c r="O64" s="331"/>
      <c r="P64" s="331"/>
      <c r="Q64" s="331"/>
      <c r="R64" s="335">
        <f t="shared" si="1"/>
        <v>0</v>
      </c>
      <c r="S64" s="337">
        <f t="shared" si="2"/>
        <v>0</v>
      </c>
      <c r="T64" s="50"/>
      <c r="U64" s="74"/>
      <c r="V64" s="72"/>
      <c r="W64" s="304"/>
      <c r="X64" s="305"/>
      <c r="Y64" s="305"/>
      <c r="Z64" s="305"/>
      <c r="AA64" s="305"/>
      <c r="AB64" s="305"/>
      <c r="AC64" s="305"/>
      <c r="AD64" s="305"/>
      <c r="AE64" s="305"/>
      <c r="AF64" s="305"/>
      <c r="AG64" s="306"/>
    </row>
    <row r="65" spans="3:33" s="51" customFormat="1" ht="18" thickBot="1">
      <c r="C65" s="327"/>
      <c r="D65" s="328"/>
      <c r="E65" s="328"/>
      <c r="F65" s="328"/>
      <c r="G65" s="328"/>
      <c r="H65" s="328"/>
      <c r="I65" s="328"/>
      <c r="J65" s="329"/>
      <c r="K65" s="330"/>
      <c r="L65" s="331"/>
      <c r="M65" s="332"/>
      <c r="N65" s="333"/>
      <c r="O65" s="331"/>
      <c r="P65" s="331"/>
      <c r="Q65" s="331"/>
      <c r="R65" s="335">
        <f t="shared" si="1"/>
        <v>0</v>
      </c>
      <c r="S65" s="337">
        <f t="shared" si="2"/>
        <v>0</v>
      </c>
      <c r="T65" s="50"/>
      <c r="U65" s="74"/>
      <c r="V65" s="72"/>
      <c r="W65" s="304"/>
      <c r="X65" s="305"/>
      <c r="Y65" s="305"/>
      <c r="Z65" s="305"/>
      <c r="AA65" s="305"/>
      <c r="AB65" s="305"/>
      <c r="AC65" s="305"/>
      <c r="AD65" s="305"/>
      <c r="AE65" s="305"/>
      <c r="AF65" s="305"/>
      <c r="AG65" s="306"/>
    </row>
    <row r="66" spans="3:33" s="51" customFormat="1" ht="18" thickBot="1">
      <c r="C66" s="327"/>
      <c r="D66" s="328"/>
      <c r="E66" s="328"/>
      <c r="F66" s="328"/>
      <c r="G66" s="328"/>
      <c r="H66" s="328"/>
      <c r="I66" s="328"/>
      <c r="J66" s="329"/>
      <c r="K66" s="330"/>
      <c r="L66" s="331"/>
      <c r="M66" s="332"/>
      <c r="N66" s="333"/>
      <c r="O66" s="331"/>
      <c r="P66" s="331"/>
      <c r="Q66" s="331"/>
      <c r="R66" s="335">
        <f t="shared" si="1"/>
        <v>0</v>
      </c>
      <c r="S66" s="337">
        <f t="shared" si="2"/>
        <v>0</v>
      </c>
      <c r="T66" s="50"/>
      <c r="U66" s="74"/>
      <c r="V66" s="72"/>
      <c r="W66" s="304"/>
      <c r="X66" s="305"/>
      <c r="Y66" s="305"/>
      <c r="Z66" s="305"/>
      <c r="AA66" s="305"/>
      <c r="AB66" s="305"/>
      <c r="AC66" s="305"/>
      <c r="AD66" s="305"/>
      <c r="AE66" s="305"/>
      <c r="AF66" s="305"/>
      <c r="AG66" s="306"/>
    </row>
    <row r="67" spans="3:33" s="51" customFormat="1" ht="18" thickBot="1">
      <c r="C67" s="327"/>
      <c r="D67" s="328"/>
      <c r="E67" s="328"/>
      <c r="F67" s="328"/>
      <c r="G67" s="328"/>
      <c r="H67" s="328"/>
      <c r="I67" s="328"/>
      <c r="J67" s="329"/>
      <c r="K67" s="330"/>
      <c r="L67" s="331"/>
      <c r="M67" s="332"/>
      <c r="N67" s="333"/>
      <c r="O67" s="331"/>
      <c r="P67" s="331"/>
      <c r="Q67" s="331"/>
      <c r="R67" s="335">
        <f t="shared" si="1"/>
        <v>0</v>
      </c>
      <c r="S67" s="337">
        <f t="shared" si="2"/>
        <v>0</v>
      </c>
      <c r="T67" s="50"/>
      <c r="U67" s="74"/>
      <c r="V67" s="72"/>
      <c r="W67" s="304"/>
      <c r="X67" s="305"/>
      <c r="Y67" s="305"/>
      <c r="Z67" s="305"/>
      <c r="AA67" s="305"/>
      <c r="AB67" s="305"/>
      <c r="AC67" s="305"/>
      <c r="AD67" s="305"/>
      <c r="AE67" s="305"/>
      <c r="AF67" s="305"/>
      <c r="AG67" s="306"/>
    </row>
    <row r="68" spans="3:33" s="51" customFormat="1" ht="18" thickBot="1">
      <c r="C68" s="327"/>
      <c r="D68" s="328"/>
      <c r="E68" s="328"/>
      <c r="F68" s="328"/>
      <c r="G68" s="328"/>
      <c r="H68" s="328"/>
      <c r="I68" s="328"/>
      <c r="J68" s="329"/>
      <c r="K68" s="330"/>
      <c r="L68" s="331"/>
      <c r="M68" s="332"/>
      <c r="N68" s="333"/>
      <c r="O68" s="331"/>
      <c r="P68" s="331"/>
      <c r="Q68" s="331"/>
      <c r="R68" s="335">
        <f t="shared" si="1"/>
        <v>0</v>
      </c>
      <c r="S68" s="337">
        <f t="shared" si="2"/>
        <v>0</v>
      </c>
      <c r="T68" s="50"/>
      <c r="U68" s="74"/>
      <c r="V68" s="72"/>
      <c r="W68" s="304"/>
      <c r="X68" s="305"/>
      <c r="Y68" s="305"/>
      <c r="Z68" s="305"/>
      <c r="AA68" s="305"/>
      <c r="AB68" s="305"/>
      <c r="AC68" s="305"/>
      <c r="AD68" s="305"/>
      <c r="AE68" s="305"/>
      <c r="AF68" s="305"/>
      <c r="AG68" s="306"/>
    </row>
    <row r="69" spans="3:33" s="51" customFormat="1" ht="18" thickBot="1">
      <c r="C69" s="327"/>
      <c r="D69" s="328"/>
      <c r="E69" s="328"/>
      <c r="F69" s="328"/>
      <c r="G69" s="328"/>
      <c r="H69" s="328"/>
      <c r="I69" s="328"/>
      <c r="J69" s="329"/>
      <c r="K69" s="330"/>
      <c r="L69" s="331"/>
      <c r="M69" s="332"/>
      <c r="N69" s="333"/>
      <c r="O69" s="331"/>
      <c r="P69" s="331"/>
      <c r="Q69" s="331"/>
      <c r="R69" s="335">
        <f t="shared" si="1"/>
        <v>0</v>
      </c>
      <c r="S69" s="337">
        <f t="shared" si="2"/>
        <v>0</v>
      </c>
      <c r="T69" s="50"/>
      <c r="U69" s="74"/>
      <c r="V69" s="72"/>
      <c r="W69" s="304"/>
      <c r="X69" s="305"/>
      <c r="Y69" s="305"/>
      <c r="Z69" s="305"/>
      <c r="AA69" s="305"/>
      <c r="AB69" s="305"/>
      <c r="AC69" s="305"/>
      <c r="AD69" s="305"/>
      <c r="AE69" s="305"/>
      <c r="AF69" s="305"/>
      <c r="AG69" s="306"/>
    </row>
    <row r="70" spans="3:33" s="51" customFormat="1" ht="18" thickBot="1">
      <c r="C70" s="327"/>
      <c r="D70" s="328"/>
      <c r="E70" s="328"/>
      <c r="F70" s="328"/>
      <c r="G70" s="328"/>
      <c r="H70" s="328"/>
      <c r="I70" s="328"/>
      <c r="J70" s="329"/>
      <c r="K70" s="330"/>
      <c r="L70" s="331"/>
      <c r="M70" s="332"/>
      <c r="N70" s="333"/>
      <c r="O70" s="331"/>
      <c r="P70" s="331"/>
      <c r="Q70" s="331"/>
      <c r="R70" s="335">
        <f t="shared" si="1"/>
        <v>0</v>
      </c>
      <c r="S70" s="337">
        <f t="shared" si="2"/>
        <v>0</v>
      </c>
      <c r="T70" s="50"/>
      <c r="U70" s="74"/>
      <c r="V70" s="72"/>
      <c r="W70" s="304"/>
      <c r="X70" s="305"/>
      <c r="Y70" s="305"/>
      <c r="Z70" s="305"/>
      <c r="AA70" s="305"/>
      <c r="AB70" s="305"/>
      <c r="AC70" s="305"/>
      <c r="AD70" s="305"/>
      <c r="AE70" s="305"/>
      <c r="AF70" s="305"/>
      <c r="AG70" s="306"/>
    </row>
    <row r="71" spans="3:33" s="51" customFormat="1" ht="18" thickBot="1">
      <c r="C71" s="327"/>
      <c r="D71" s="328"/>
      <c r="E71" s="328"/>
      <c r="F71" s="328"/>
      <c r="G71" s="328"/>
      <c r="H71" s="328"/>
      <c r="I71" s="328"/>
      <c r="J71" s="329"/>
      <c r="K71" s="330"/>
      <c r="L71" s="331"/>
      <c r="M71" s="332"/>
      <c r="N71" s="333"/>
      <c r="O71" s="331"/>
      <c r="P71" s="331"/>
      <c r="Q71" s="331"/>
      <c r="R71" s="335">
        <f t="shared" si="1"/>
        <v>0</v>
      </c>
      <c r="S71" s="337">
        <f t="shared" si="2"/>
        <v>0</v>
      </c>
      <c r="T71" s="50"/>
      <c r="U71" s="74"/>
      <c r="V71" s="72"/>
      <c r="W71" s="304"/>
      <c r="X71" s="305"/>
      <c r="Y71" s="305"/>
      <c r="Z71" s="305"/>
      <c r="AA71" s="305"/>
      <c r="AB71" s="305"/>
      <c r="AC71" s="305"/>
      <c r="AD71" s="305"/>
      <c r="AE71" s="305"/>
      <c r="AF71" s="305"/>
      <c r="AG71" s="306"/>
    </row>
    <row r="72" spans="3:33" s="51" customFormat="1" ht="18" thickBot="1">
      <c r="C72" s="327"/>
      <c r="D72" s="328"/>
      <c r="E72" s="328"/>
      <c r="F72" s="328"/>
      <c r="G72" s="328"/>
      <c r="H72" s="328"/>
      <c r="I72" s="328"/>
      <c r="J72" s="329"/>
      <c r="K72" s="330"/>
      <c r="L72" s="331"/>
      <c r="M72" s="332"/>
      <c r="N72" s="333"/>
      <c r="O72" s="331"/>
      <c r="P72" s="331"/>
      <c r="Q72" s="331"/>
      <c r="R72" s="335">
        <f t="shared" si="1"/>
        <v>0</v>
      </c>
      <c r="S72" s="337">
        <f t="shared" si="2"/>
        <v>0</v>
      </c>
      <c r="T72" s="50"/>
      <c r="U72" s="74"/>
      <c r="V72" s="72"/>
      <c r="W72" s="304"/>
      <c r="X72" s="305"/>
      <c r="Y72" s="305"/>
      <c r="Z72" s="305"/>
      <c r="AA72" s="305"/>
      <c r="AB72" s="305"/>
      <c r="AC72" s="305"/>
      <c r="AD72" s="305"/>
      <c r="AE72" s="305"/>
      <c r="AF72" s="305"/>
      <c r="AG72" s="306"/>
    </row>
    <row r="73" spans="3:33" s="51" customFormat="1" ht="18" thickBot="1">
      <c r="C73" s="327"/>
      <c r="D73" s="328"/>
      <c r="E73" s="328"/>
      <c r="F73" s="328"/>
      <c r="G73" s="328"/>
      <c r="H73" s="328"/>
      <c r="I73" s="328"/>
      <c r="J73" s="329"/>
      <c r="K73" s="330"/>
      <c r="L73" s="331"/>
      <c r="M73" s="332"/>
      <c r="N73" s="333"/>
      <c r="O73" s="331"/>
      <c r="P73" s="331"/>
      <c r="Q73" s="331"/>
      <c r="R73" s="335">
        <f t="shared" si="1"/>
        <v>0</v>
      </c>
      <c r="S73" s="337">
        <f t="shared" si="2"/>
        <v>0</v>
      </c>
      <c r="T73" s="50"/>
      <c r="U73" s="74"/>
      <c r="V73" s="72"/>
      <c r="W73" s="304"/>
      <c r="X73" s="305"/>
      <c r="Y73" s="305"/>
      <c r="Z73" s="305"/>
      <c r="AA73" s="305"/>
      <c r="AB73" s="305"/>
      <c r="AC73" s="305"/>
      <c r="AD73" s="305"/>
      <c r="AE73" s="305"/>
      <c r="AF73" s="305"/>
      <c r="AG73" s="306"/>
    </row>
    <row r="74" spans="3:33" s="51" customFormat="1" ht="18" thickBot="1">
      <c r="C74" s="327"/>
      <c r="D74" s="328"/>
      <c r="E74" s="328"/>
      <c r="F74" s="328"/>
      <c r="G74" s="328"/>
      <c r="H74" s="328"/>
      <c r="I74" s="328"/>
      <c r="J74" s="329"/>
      <c r="K74" s="330"/>
      <c r="L74" s="331"/>
      <c r="M74" s="332"/>
      <c r="N74" s="333"/>
      <c r="O74" s="331"/>
      <c r="P74" s="331"/>
      <c r="Q74" s="331"/>
      <c r="R74" s="335">
        <f t="shared" si="1"/>
        <v>0</v>
      </c>
      <c r="S74" s="337">
        <f t="shared" si="2"/>
        <v>0</v>
      </c>
      <c r="T74" s="50"/>
      <c r="U74" s="74"/>
      <c r="V74" s="72"/>
      <c r="W74" s="304"/>
      <c r="X74" s="305"/>
      <c r="Y74" s="305"/>
      <c r="Z74" s="305"/>
      <c r="AA74" s="305"/>
      <c r="AB74" s="305"/>
      <c r="AC74" s="305"/>
      <c r="AD74" s="305"/>
      <c r="AE74" s="305"/>
      <c r="AF74" s="305"/>
      <c r="AG74" s="306"/>
    </row>
    <row r="75" spans="3:33" s="51" customFormat="1" ht="18" thickBot="1">
      <c r="C75" s="327"/>
      <c r="D75" s="328"/>
      <c r="E75" s="328"/>
      <c r="F75" s="328"/>
      <c r="G75" s="328"/>
      <c r="H75" s="328"/>
      <c r="I75" s="328"/>
      <c r="J75" s="329"/>
      <c r="K75" s="330"/>
      <c r="L75" s="331"/>
      <c r="M75" s="332"/>
      <c r="N75" s="333"/>
      <c r="O75" s="331"/>
      <c r="P75" s="331"/>
      <c r="Q75" s="331"/>
      <c r="R75" s="335">
        <f t="shared" si="1"/>
        <v>0</v>
      </c>
      <c r="S75" s="337">
        <f t="shared" si="2"/>
        <v>0</v>
      </c>
      <c r="T75" s="50"/>
      <c r="U75" s="74"/>
      <c r="V75" s="72"/>
      <c r="W75" s="304"/>
      <c r="X75" s="305"/>
      <c r="Y75" s="305"/>
      <c r="Z75" s="305"/>
      <c r="AA75" s="305"/>
      <c r="AB75" s="305"/>
      <c r="AC75" s="305"/>
      <c r="AD75" s="305"/>
      <c r="AE75" s="305"/>
      <c r="AF75" s="305"/>
      <c r="AG75" s="306"/>
    </row>
    <row r="76" spans="3:33" s="51" customFormat="1" ht="18" thickBot="1">
      <c r="C76" s="327"/>
      <c r="D76" s="328"/>
      <c r="E76" s="328"/>
      <c r="F76" s="328"/>
      <c r="G76" s="328"/>
      <c r="H76" s="328"/>
      <c r="I76" s="328"/>
      <c r="J76" s="329"/>
      <c r="K76" s="330"/>
      <c r="L76" s="331"/>
      <c r="M76" s="332"/>
      <c r="N76" s="333"/>
      <c r="O76" s="331"/>
      <c r="P76" s="331"/>
      <c r="Q76" s="331"/>
      <c r="R76" s="335">
        <f t="shared" si="1"/>
        <v>0</v>
      </c>
      <c r="S76" s="337">
        <f t="shared" si="2"/>
        <v>0</v>
      </c>
      <c r="T76" s="50"/>
      <c r="U76" s="74"/>
      <c r="V76" s="72"/>
      <c r="W76" s="304"/>
      <c r="X76" s="305"/>
      <c r="Y76" s="305"/>
      <c r="Z76" s="305"/>
      <c r="AA76" s="305"/>
      <c r="AB76" s="305"/>
      <c r="AC76" s="305"/>
      <c r="AD76" s="305"/>
      <c r="AE76" s="305"/>
      <c r="AF76" s="305"/>
      <c r="AG76" s="306"/>
    </row>
    <row r="77" spans="3:33" s="51" customFormat="1" ht="18" thickBot="1">
      <c r="C77" s="327"/>
      <c r="D77" s="328"/>
      <c r="E77" s="328"/>
      <c r="F77" s="328"/>
      <c r="G77" s="328"/>
      <c r="H77" s="328"/>
      <c r="I77" s="328"/>
      <c r="J77" s="329"/>
      <c r="K77" s="330"/>
      <c r="L77" s="331"/>
      <c r="M77" s="332"/>
      <c r="N77" s="333"/>
      <c r="O77" s="331"/>
      <c r="P77" s="331"/>
      <c r="Q77" s="331"/>
      <c r="R77" s="335">
        <f t="shared" si="1"/>
        <v>0</v>
      </c>
      <c r="S77" s="337">
        <f t="shared" si="2"/>
        <v>0</v>
      </c>
      <c r="T77" s="50"/>
      <c r="U77" s="74"/>
      <c r="V77" s="72"/>
      <c r="W77" s="304"/>
      <c r="X77" s="305"/>
      <c r="Y77" s="305"/>
      <c r="Z77" s="305"/>
      <c r="AA77" s="305"/>
      <c r="AB77" s="305"/>
      <c r="AC77" s="305"/>
      <c r="AD77" s="305"/>
      <c r="AE77" s="305"/>
      <c r="AF77" s="305"/>
      <c r="AG77" s="306"/>
    </row>
    <row r="78" spans="3:33" s="51" customFormat="1" ht="18" thickBot="1">
      <c r="C78" s="327"/>
      <c r="D78" s="328"/>
      <c r="E78" s="328"/>
      <c r="F78" s="328"/>
      <c r="G78" s="328"/>
      <c r="H78" s="328"/>
      <c r="I78" s="328"/>
      <c r="J78" s="329"/>
      <c r="K78" s="330"/>
      <c r="L78" s="331"/>
      <c r="M78" s="332"/>
      <c r="N78" s="333"/>
      <c r="O78" s="331"/>
      <c r="P78" s="331"/>
      <c r="Q78" s="331"/>
      <c r="R78" s="335">
        <f t="shared" si="1"/>
        <v>0</v>
      </c>
      <c r="S78" s="337">
        <f t="shared" si="2"/>
        <v>0</v>
      </c>
      <c r="T78" s="50"/>
      <c r="U78" s="74"/>
      <c r="V78" s="72"/>
      <c r="W78" s="304"/>
      <c r="X78" s="305"/>
      <c r="Y78" s="305"/>
      <c r="Z78" s="305"/>
      <c r="AA78" s="305"/>
      <c r="AB78" s="305"/>
      <c r="AC78" s="305"/>
      <c r="AD78" s="305"/>
      <c r="AE78" s="305"/>
      <c r="AF78" s="305"/>
      <c r="AG78" s="306"/>
    </row>
    <row r="79" spans="3:33" s="51" customFormat="1" ht="18" thickBot="1">
      <c r="C79" s="327"/>
      <c r="D79" s="328"/>
      <c r="E79" s="328"/>
      <c r="F79" s="328"/>
      <c r="G79" s="328"/>
      <c r="H79" s="328"/>
      <c r="I79" s="328"/>
      <c r="J79" s="329"/>
      <c r="K79" s="330"/>
      <c r="L79" s="331"/>
      <c r="M79" s="332"/>
      <c r="N79" s="333"/>
      <c r="O79" s="331"/>
      <c r="P79" s="331"/>
      <c r="Q79" s="331"/>
      <c r="R79" s="335">
        <f t="shared" si="1"/>
        <v>0</v>
      </c>
      <c r="S79" s="337">
        <f t="shared" si="2"/>
        <v>0</v>
      </c>
      <c r="T79" s="50"/>
      <c r="U79" s="74"/>
      <c r="V79" s="72"/>
      <c r="W79" s="304"/>
      <c r="X79" s="305"/>
      <c r="Y79" s="305"/>
      <c r="Z79" s="305"/>
      <c r="AA79" s="305"/>
      <c r="AB79" s="305"/>
      <c r="AC79" s="305"/>
      <c r="AD79" s="305"/>
      <c r="AE79" s="305"/>
      <c r="AF79" s="305"/>
      <c r="AG79" s="306"/>
    </row>
    <row r="80" spans="3:33" s="51" customFormat="1" ht="18" thickBot="1">
      <c r="C80" s="327"/>
      <c r="D80" s="328"/>
      <c r="E80" s="328"/>
      <c r="F80" s="328"/>
      <c r="G80" s="328"/>
      <c r="H80" s="328"/>
      <c r="I80" s="328"/>
      <c r="J80" s="329"/>
      <c r="K80" s="330"/>
      <c r="L80" s="331"/>
      <c r="M80" s="332"/>
      <c r="N80" s="333"/>
      <c r="O80" s="331"/>
      <c r="P80" s="331"/>
      <c r="Q80" s="331"/>
      <c r="R80" s="335">
        <f t="shared" si="1"/>
        <v>0</v>
      </c>
      <c r="S80" s="337">
        <f t="shared" si="2"/>
        <v>0</v>
      </c>
      <c r="T80" s="50"/>
      <c r="U80" s="74"/>
      <c r="V80" s="72"/>
      <c r="W80" s="304"/>
      <c r="X80" s="305"/>
      <c r="Y80" s="305"/>
      <c r="Z80" s="305"/>
      <c r="AA80" s="305"/>
      <c r="AB80" s="305"/>
      <c r="AC80" s="305"/>
      <c r="AD80" s="305"/>
      <c r="AE80" s="305"/>
      <c r="AF80" s="305"/>
      <c r="AG80" s="306"/>
    </row>
    <row r="81" spans="3:33" s="51" customFormat="1" ht="18" thickBot="1">
      <c r="C81" s="327"/>
      <c r="D81" s="328"/>
      <c r="E81" s="328"/>
      <c r="F81" s="328"/>
      <c r="G81" s="328"/>
      <c r="H81" s="328"/>
      <c r="I81" s="328"/>
      <c r="J81" s="329"/>
      <c r="K81" s="330"/>
      <c r="L81" s="331"/>
      <c r="M81" s="332"/>
      <c r="N81" s="333"/>
      <c r="O81" s="331"/>
      <c r="P81" s="331"/>
      <c r="Q81" s="331"/>
      <c r="R81" s="335">
        <f t="shared" si="1"/>
        <v>0</v>
      </c>
      <c r="S81" s="337">
        <f t="shared" si="2"/>
        <v>0</v>
      </c>
      <c r="T81" s="50"/>
      <c r="U81" s="74"/>
      <c r="V81" s="72"/>
      <c r="W81" s="304"/>
      <c r="X81" s="305"/>
      <c r="Y81" s="305"/>
      <c r="Z81" s="305"/>
      <c r="AA81" s="305"/>
      <c r="AB81" s="305"/>
      <c r="AC81" s="305"/>
      <c r="AD81" s="305"/>
      <c r="AE81" s="305"/>
      <c r="AF81" s="305"/>
      <c r="AG81" s="306"/>
    </row>
    <row r="82" spans="3:33" s="51" customFormat="1" ht="18" thickBot="1">
      <c r="C82" s="327"/>
      <c r="D82" s="328"/>
      <c r="E82" s="328"/>
      <c r="F82" s="328"/>
      <c r="G82" s="328"/>
      <c r="H82" s="328"/>
      <c r="I82" s="328"/>
      <c r="J82" s="329"/>
      <c r="K82" s="330"/>
      <c r="L82" s="331"/>
      <c r="M82" s="332"/>
      <c r="N82" s="333"/>
      <c r="O82" s="331"/>
      <c r="P82" s="331"/>
      <c r="Q82" s="331"/>
      <c r="R82" s="335">
        <f t="shared" si="1"/>
        <v>0</v>
      </c>
      <c r="S82" s="337">
        <f t="shared" si="2"/>
        <v>0</v>
      </c>
      <c r="T82" s="50"/>
      <c r="U82" s="74"/>
      <c r="V82" s="72"/>
      <c r="W82" s="304"/>
      <c r="X82" s="305"/>
      <c r="Y82" s="305"/>
      <c r="Z82" s="305"/>
      <c r="AA82" s="305"/>
      <c r="AB82" s="305"/>
      <c r="AC82" s="305"/>
      <c r="AD82" s="305"/>
      <c r="AE82" s="305"/>
      <c r="AF82" s="305"/>
      <c r="AG82" s="306"/>
    </row>
    <row r="83" spans="3:33" s="51" customFormat="1" ht="18" thickBot="1">
      <c r="C83" s="327"/>
      <c r="D83" s="328"/>
      <c r="E83" s="328"/>
      <c r="F83" s="328"/>
      <c r="G83" s="328"/>
      <c r="H83" s="328"/>
      <c r="I83" s="328"/>
      <c r="J83" s="329"/>
      <c r="K83" s="330"/>
      <c r="L83" s="331"/>
      <c r="M83" s="332"/>
      <c r="N83" s="333"/>
      <c r="O83" s="331"/>
      <c r="P83" s="331"/>
      <c r="Q83" s="331"/>
      <c r="R83" s="335">
        <f t="shared" si="1"/>
        <v>0</v>
      </c>
      <c r="S83" s="337">
        <f t="shared" si="2"/>
        <v>0</v>
      </c>
      <c r="T83" s="50"/>
      <c r="U83" s="74"/>
      <c r="V83" s="72"/>
      <c r="W83" s="304"/>
      <c r="X83" s="305"/>
      <c r="Y83" s="305"/>
      <c r="Z83" s="305"/>
      <c r="AA83" s="305"/>
      <c r="AB83" s="305"/>
      <c r="AC83" s="305"/>
      <c r="AD83" s="305"/>
      <c r="AE83" s="305"/>
      <c r="AF83" s="305"/>
      <c r="AG83" s="306"/>
    </row>
    <row r="84" spans="3:33" s="51" customFormat="1" ht="18" thickBot="1">
      <c r="C84" s="327"/>
      <c r="D84" s="328"/>
      <c r="E84" s="328"/>
      <c r="F84" s="328"/>
      <c r="G84" s="328"/>
      <c r="H84" s="328"/>
      <c r="I84" s="328"/>
      <c r="J84" s="329"/>
      <c r="K84" s="330"/>
      <c r="L84" s="331"/>
      <c r="M84" s="332"/>
      <c r="N84" s="333"/>
      <c r="O84" s="331"/>
      <c r="P84" s="331"/>
      <c r="Q84" s="331"/>
      <c r="R84" s="335">
        <f t="shared" si="1"/>
        <v>0</v>
      </c>
      <c r="S84" s="337">
        <f t="shared" si="2"/>
        <v>0</v>
      </c>
      <c r="T84" s="50"/>
      <c r="U84" s="74"/>
      <c r="V84" s="72"/>
      <c r="W84" s="304"/>
      <c r="X84" s="305"/>
      <c r="Y84" s="305"/>
      <c r="Z84" s="305"/>
      <c r="AA84" s="305"/>
      <c r="AB84" s="305"/>
      <c r="AC84" s="305"/>
      <c r="AD84" s="305"/>
      <c r="AE84" s="305"/>
      <c r="AF84" s="305"/>
      <c r="AG84" s="306"/>
    </row>
    <row r="85" spans="3:33" s="51" customFormat="1" ht="18" thickBot="1">
      <c r="C85" s="327"/>
      <c r="D85" s="328"/>
      <c r="E85" s="328"/>
      <c r="F85" s="328"/>
      <c r="G85" s="328"/>
      <c r="H85" s="328"/>
      <c r="I85" s="328"/>
      <c r="J85" s="329"/>
      <c r="K85" s="330"/>
      <c r="L85" s="331"/>
      <c r="M85" s="332"/>
      <c r="N85" s="333"/>
      <c r="O85" s="331"/>
      <c r="P85" s="331"/>
      <c r="Q85" s="331"/>
      <c r="R85" s="335">
        <f t="shared" si="1"/>
        <v>0</v>
      </c>
      <c r="S85" s="337">
        <f t="shared" si="2"/>
        <v>0</v>
      </c>
      <c r="T85" s="50"/>
      <c r="U85" s="74"/>
      <c r="V85" s="72"/>
      <c r="W85" s="304"/>
      <c r="X85" s="305"/>
      <c r="Y85" s="305"/>
      <c r="Z85" s="305"/>
      <c r="AA85" s="305"/>
      <c r="AB85" s="305"/>
      <c r="AC85" s="305"/>
      <c r="AD85" s="305"/>
      <c r="AE85" s="305"/>
      <c r="AF85" s="305"/>
      <c r="AG85" s="306"/>
    </row>
    <row r="86" spans="3:33" s="51" customFormat="1" ht="18" thickBot="1">
      <c r="C86" s="327"/>
      <c r="D86" s="328"/>
      <c r="E86" s="328"/>
      <c r="F86" s="328"/>
      <c r="G86" s="328"/>
      <c r="H86" s="328"/>
      <c r="I86" s="328"/>
      <c r="J86" s="329"/>
      <c r="K86" s="330"/>
      <c r="L86" s="331"/>
      <c r="M86" s="332"/>
      <c r="N86" s="333"/>
      <c r="O86" s="331"/>
      <c r="P86" s="331"/>
      <c r="Q86" s="331"/>
      <c r="R86" s="335">
        <f t="shared" si="1"/>
        <v>0</v>
      </c>
      <c r="S86" s="337">
        <f t="shared" si="2"/>
        <v>0</v>
      </c>
      <c r="T86" s="50"/>
      <c r="U86" s="74"/>
      <c r="V86" s="72"/>
      <c r="W86" s="304"/>
      <c r="X86" s="305"/>
      <c r="Y86" s="305"/>
      <c r="Z86" s="305"/>
      <c r="AA86" s="305"/>
      <c r="AB86" s="305"/>
      <c r="AC86" s="305"/>
      <c r="AD86" s="305"/>
      <c r="AE86" s="305"/>
      <c r="AF86" s="305"/>
      <c r="AG86" s="306"/>
    </row>
    <row r="87" spans="3:33" s="51" customFormat="1" ht="18" thickBot="1">
      <c r="C87" s="327"/>
      <c r="D87" s="328"/>
      <c r="E87" s="328"/>
      <c r="F87" s="328"/>
      <c r="G87" s="328"/>
      <c r="H87" s="328"/>
      <c r="I87" s="328"/>
      <c r="J87" s="329"/>
      <c r="K87" s="330"/>
      <c r="L87" s="331"/>
      <c r="M87" s="332"/>
      <c r="N87" s="333"/>
      <c r="O87" s="331"/>
      <c r="P87" s="331"/>
      <c r="Q87" s="331"/>
      <c r="R87" s="335">
        <f t="shared" si="1"/>
        <v>0</v>
      </c>
      <c r="S87" s="337">
        <f t="shared" si="2"/>
        <v>0</v>
      </c>
      <c r="T87" s="50"/>
      <c r="U87" s="74"/>
      <c r="V87" s="72"/>
      <c r="W87" s="304"/>
      <c r="X87" s="305"/>
      <c r="Y87" s="305"/>
      <c r="Z87" s="305"/>
      <c r="AA87" s="305"/>
      <c r="AB87" s="305"/>
      <c r="AC87" s="305"/>
      <c r="AD87" s="305"/>
      <c r="AE87" s="305"/>
      <c r="AF87" s="305"/>
      <c r="AG87" s="306"/>
    </row>
    <row r="88" spans="3:33" s="51" customFormat="1" ht="18" thickBot="1">
      <c r="C88" s="327"/>
      <c r="D88" s="328"/>
      <c r="E88" s="328"/>
      <c r="F88" s="328"/>
      <c r="G88" s="328"/>
      <c r="H88" s="328"/>
      <c r="I88" s="328"/>
      <c r="J88" s="329"/>
      <c r="K88" s="330"/>
      <c r="L88" s="331"/>
      <c r="M88" s="332"/>
      <c r="N88" s="333"/>
      <c r="O88" s="331"/>
      <c r="P88" s="331"/>
      <c r="Q88" s="331"/>
      <c r="R88" s="335">
        <f t="shared" si="1"/>
        <v>0</v>
      </c>
      <c r="S88" s="337">
        <f t="shared" si="2"/>
        <v>0</v>
      </c>
      <c r="T88" s="50"/>
      <c r="U88" s="74"/>
      <c r="V88" s="72"/>
      <c r="W88" s="304"/>
      <c r="X88" s="305"/>
      <c r="Y88" s="305"/>
      <c r="Z88" s="305"/>
      <c r="AA88" s="305"/>
      <c r="AB88" s="305"/>
      <c r="AC88" s="305"/>
      <c r="AD88" s="305"/>
      <c r="AE88" s="305"/>
      <c r="AF88" s="305"/>
      <c r="AG88" s="306"/>
    </row>
    <row r="89" spans="3:33" s="51" customFormat="1" ht="18" thickBot="1">
      <c r="C89" s="327"/>
      <c r="D89" s="328"/>
      <c r="E89" s="328"/>
      <c r="F89" s="328"/>
      <c r="G89" s="328"/>
      <c r="H89" s="328"/>
      <c r="I89" s="328"/>
      <c r="J89" s="329"/>
      <c r="K89" s="330"/>
      <c r="L89" s="331"/>
      <c r="M89" s="332"/>
      <c r="N89" s="333"/>
      <c r="O89" s="331"/>
      <c r="P89" s="331"/>
      <c r="Q89" s="331"/>
      <c r="R89" s="335">
        <f t="shared" si="1"/>
        <v>0</v>
      </c>
      <c r="S89" s="337">
        <f t="shared" si="2"/>
        <v>0</v>
      </c>
      <c r="T89" s="50"/>
      <c r="U89" s="74"/>
      <c r="V89" s="72"/>
      <c r="W89" s="304"/>
      <c r="X89" s="305"/>
      <c r="Y89" s="305"/>
      <c r="Z89" s="305"/>
      <c r="AA89" s="305"/>
      <c r="AB89" s="305"/>
      <c r="AC89" s="305"/>
      <c r="AD89" s="305"/>
      <c r="AE89" s="305"/>
      <c r="AF89" s="305"/>
      <c r="AG89" s="306"/>
    </row>
    <row r="90" spans="3:33" s="51" customFormat="1" ht="18" thickBot="1">
      <c r="C90" s="327"/>
      <c r="D90" s="328"/>
      <c r="E90" s="328"/>
      <c r="F90" s="328"/>
      <c r="G90" s="328"/>
      <c r="H90" s="328"/>
      <c r="I90" s="328"/>
      <c r="J90" s="329"/>
      <c r="K90" s="330"/>
      <c r="L90" s="331"/>
      <c r="M90" s="332"/>
      <c r="N90" s="333"/>
      <c r="O90" s="331"/>
      <c r="P90" s="331"/>
      <c r="Q90" s="331"/>
      <c r="R90" s="335">
        <f t="shared" si="1"/>
        <v>0</v>
      </c>
      <c r="S90" s="337">
        <f t="shared" si="2"/>
        <v>0</v>
      </c>
      <c r="T90" s="50"/>
      <c r="U90" s="74"/>
      <c r="V90" s="72"/>
      <c r="W90" s="304"/>
      <c r="X90" s="305"/>
      <c r="Y90" s="305"/>
      <c r="Z90" s="305"/>
      <c r="AA90" s="305"/>
      <c r="AB90" s="305"/>
      <c r="AC90" s="305"/>
      <c r="AD90" s="305"/>
      <c r="AE90" s="305"/>
      <c r="AF90" s="305"/>
      <c r="AG90" s="306"/>
    </row>
    <row r="91" spans="3:33" s="51" customFormat="1" ht="18" thickBot="1">
      <c r="C91" s="327"/>
      <c r="D91" s="328"/>
      <c r="E91" s="328"/>
      <c r="F91" s="328"/>
      <c r="G91" s="328"/>
      <c r="H91" s="328"/>
      <c r="I91" s="328"/>
      <c r="J91" s="329"/>
      <c r="K91" s="330"/>
      <c r="L91" s="331"/>
      <c r="M91" s="332"/>
      <c r="N91" s="333"/>
      <c r="O91" s="331"/>
      <c r="P91" s="331"/>
      <c r="Q91" s="331"/>
      <c r="R91" s="335">
        <f t="shared" si="1"/>
        <v>0</v>
      </c>
      <c r="S91" s="337">
        <f t="shared" si="2"/>
        <v>0</v>
      </c>
      <c r="T91" s="50"/>
      <c r="U91" s="74"/>
      <c r="V91" s="72"/>
      <c r="W91" s="304"/>
      <c r="X91" s="305"/>
      <c r="Y91" s="305"/>
      <c r="Z91" s="305"/>
      <c r="AA91" s="305"/>
      <c r="AB91" s="305"/>
      <c r="AC91" s="305"/>
      <c r="AD91" s="305"/>
      <c r="AE91" s="305"/>
      <c r="AF91" s="305"/>
      <c r="AG91" s="306"/>
    </row>
    <row r="92" spans="3:33" s="51" customFormat="1" ht="18" thickBot="1">
      <c r="C92" s="327"/>
      <c r="D92" s="328"/>
      <c r="E92" s="328"/>
      <c r="F92" s="328"/>
      <c r="G92" s="328"/>
      <c r="H92" s="328"/>
      <c r="I92" s="328"/>
      <c r="J92" s="329"/>
      <c r="K92" s="330"/>
      <c r="L92" s="331"/>
      <c r="M92" s="332"/>
      <c r="N92" s="333"/>
      <c r="O92" s="331"/>
      <c r="P92" s="331"/>
      <c r="Q92" s="331"/>
      <c r="R92" s="335">
        <f t="shared" si="1"/>
        <v>0</v>
      </c>
      <c r="S92" s="337">
        <f t="shared" si="2"/>
        <v>0</v>
      </c>
      <c r="T92" s="50"/>
      <c r="U92" s="74"/>
      <c r="V92" s="72"/>
      <c r="W92" s="304"/>
      <c r="X92" s="305"/>
      <c r="Y92" s="305"/>
      <c r="Z92" s="305"/>
      <c r="AA92" s="305"/>
      <c r="AB92" s="305"/>
      <c r="AC92" s="305"/>
      <c r="AD92" s="305"/>
      <c r="AE92" s="305"/>
      <c r="AF92" s="305"/>
      <c r="AG92" s="306"/>
    </row>
    <row r="93" spans="3:33" s="51" customFormat="1" ht="18" thickBot="1">
      <c r="C93" s="327"/>
      <c r="D93" s="328"/>
      <c r="E93" s="328"/>
      <c r="F93" s="328"/>
      <c r="G93" s="328"/>
      <c r="H93" s="328"/>
      <c r="I93" s="328"/>
      <c r="J93" s="329"/>
      <c r="K93" s="330"/>
      <c r="L93" s="331"/>
      <c r="M93" s="332"/>
      <c r="N93" s="333"/>
      <c r="O93" s="331"/>
      <c r="P93" s="331"/>
      <c r="Q93" s="331"/>
      <c r="R93" s="335">
        <f t="shared" si="1"/>
        <v>0</v>
      </c>
      <c r="S93" s="337">
        <f t="shared" si="2"/>
        <v>0</v>
      </c>
      <c r="T93" s="50"/>
      <c r="U93" s="74"/>
      <c r="V93" s="72"/>
      <c r="W93" s="304"/>
      <c r="X93" s="305"/>
      <c r="Y93" s="305"/>
      <c r="Z93" s="305"/>
      <c r="AA93" s="305"/>
      <c r="AB93" s="305"/>
      <c r="AC93" s="305"/>
      <c r="AD93" s="305"/>
      <c r="AE93" s="305"/>
      <c r="AF93" s="305"/>
      <c r="AG93" s="306"/>
    </row>
    <row r="94" spans="3:33" s="51" customFormat="1" ht="18" thickBot="1">
      <c r="C94" s="327"/>
      <c r="D94" s="328"/>
      <c r="E94" s="328"/>
      <c r="F94" s="328"/>
      <c r="G94" s="328"/>
      <c r="H94" s="328"/>
      <c r="I94" s="328"/>
      <c r="J94" s="329"/>
      <c r="K94" s="330"/>
      <c r="L94" s="331"/>
      <c r="M94" s="332"/>
      <c r="N94" s="333"/>
      <c r="O94" s="331"/>
      <c r="P94" s="331"/>
      <c r="Q94" s="331"/>
      <c r="R94" s="335">
        <f t="shared" si="1"/>
        <v>0</v>
      </c>
      <c r="S94" s="337">
        <f t="shared" si="2"/>
        <v>0</v>
      </c>
      <c r="T94" s="50"/>
      <c r="U94" s="74"/>
      <c r="V94" s="72"/>
      <c r="W94" s="304"/>
      <c r="X94" s="305"/>
      <c r="Y94" s="305"/>
      <c r="Z94" s="305"/>
      <c r="AA94" s="305"/>
      <c r="AB94" s="305"/>
      <c r="AC94" s="305"/>
      <c r="AD94" s="305"/>
      <c r="AE94" s="305"/>
      <c r="AF94" s="305"/>
      <c r="AG94" s="306"/>
    </row>
    <row r="95" spans="3:33" s="51" customFormat="1" ht="18" thickBot="1">
      <c r="C95" s="327"/>
      <c r="D95" s="328"/>
      <c r="E95" s="328"/>
      <c r="F95" s="328"/>
      <c r="G95" s="328"/>
      <c r="H95" s="328"/>
      <c r="I95" s="328"/>
      <c r="J95" s="329"/>
      <c r="K95" s="330"/>
      <c r="L95" s="331"/>
      <c r="M95" s="332"/>
      <c r="N95" s="333"/>
      <c r="O95" s="331"/>
      <c r="P95" s="331"/>
      <c r="Q95" s="331"/>
      <c r="R95" s="335">
        <f t="shared" si="1"/>
        <v>0</v>
      </c>
      <c r="S95" s="337">
        <f t="shared" si="2"/>
        <v>0</v>
      </c>
      <c r="T95" s="50"/>
      <c r="U95" s="74"/>
      <c r="V95" s="72"/>
      <c r="W95" s="304"/>
      <c r="X95" s="305"/>
      <c r="Y95" s="305"/>
      <c r="Z95" s="305"/>
      <c r="AA95" s="305"/>
      <c r="AB95" s="305"/>
      <c r="AC95" s="305"/>
      <c r="AD95" s="305"/>
      <c r="AE95" s="305"/>
      <c r="AF95" s="305"/>
      <c r="AG95" s="306"/>
    </row>
    <row r="96" spans="3:33" s="51" customFormat="1" ht="18" thickBot="1">
      <c r="C96" s="327"/>
      <c r="D96" s="328"/>
      <c r="E96" s="328"/>
      <c r="F96" s="328"/>
      <c r="G96" s="328"/>
      <c r="H96" s="328"/>
      <c r="I96" s="328"/>
      <c r="J96" s="329"/>
      <c r="K96" s="330"/>
      <c r="L96" s="331"/>
      <c r="M96" s="332"/>
      <c r="N96" s="333"/>
      <c r="O96" s="331"/>
      <c r="P96" s="331"/>
      <c r="Q96" s="331"/>
      <c r="R96" s="335">
        <f t="shared" si="1"/>
        <v>0</v>
      </c>
      <c r="S96" s="337">
        <f t="shared" si="2"/>
        <v>0</v>
      </c>
      <c r="T96" s="50"/>
      <c r="U96" s="74"/>
      <c r="V96" s="72"/>
      <c r="W96" s="304"/>
      <c r="X96" s="305"/>
      <c r="Y96" s="305"/>
      <c r="Z96" s="305"/>
      <c r="AA96" s="305"/>
      <c r="AB96" s="305"/>
      <c r="AC96" s="305"/>
      <c r="AD96" s="305"/>
      <c r="AE96" s="305"/>
      <c r="AF96" s="305"/>
      <c r="AG96" s="306"/>
    </row>
    <row r="97" spans="3:33" s="51" customFormat="1" ht="18" thickBot="1">
      <c r="C97" s="327"/>
      <c r="D97" s="328"/>
      <c r="E97" s="328"/>
      <c r="F97" s="328"/>
      <c r="G97" s="328"/>
      <c r="H97" s="328"/>
      <c r="I97" s="328"/>
      <c r="J97" s="329"/>
      <c r="K97" s="330"/>
      <c r="L97" s="331"/>
      <c r="M97" s="332"/>
      <c r="N97" s="333"/>
      <c r="O97" s="331"/>
      <c r="P97" s="331"/>
      <c r="Q97" s="331"/>
      <c r="R97" s="335">
        <f t="shared" si="1"/>
        <v>0</v>
      </c>
      <c r="S97" s="337">
        <f t="shared" si="2"/>
        <v>0</v>
      </c>
      <c r="T97" s="50"/>
      <c r="U97" s="74"/>
      <c r="V97" s="72"/>
      <c r="W97" s="304"/>
      <c r="X97" s="305"/>
      <c r="Y97" s="305"/>
      <c r="Z97" s="305"/>
      <c r="AA97" s="305"/>
      <c r="AB97" s="305"/>
      <c r="AC97" s="305"/>
      <c r="AD97" s="305"/>
      <c r="AE97" s="305"/>
      <c r="AF97" s="305"/>
      <c r="AG97" s="306"/>
    </row>
    <row r="98" spans="3:33" s="51" customFormat="1" ht="18" thickBot="1">
      <c r="C98" s="327"/>
      <c r="D98" s="328"/>
      <c r="E98" s="328"/>
      <c r="F98" s="328"/>
      <c r="G98" s="328"/>
      <c r="H98" s="328"/>
      <c r="I98" s="328"/>
      <c r="J98" s="329"/>
      <c r="K98" s="330"/>
      <c r="L98" s="331"/>
      <c r="M98" s="332"/>
      <c r="N98" s="333"/>
      <c r="O98" s="331"/>
      <c r="P98" s="331"/>
      <c r="Q98" s="331"/>
      <c r="R98" s="335">
        <f t="shared" si="1"/>
        <v>0</v>
      </c>
      <c r="S98" s="337">
        <f t="shared" si="2"/>
        <v>0</v>
      </c>
      <c r="T98" s="50"/>
      <c r="U98" s="74"/>
      <c r="V98" s="72"/>
      <c r="W98" s="304"/>
      <c r="X98" s="305"/>
      <c r="Y98" s="305"/>
      <c r="Z98" s="305"/>
      <c r="AA98" s="305"/>
      <c r="AB98" s="305"/>
      <c r="AC98" s="305"/>
      <c r="AD98" s="305"/>
      <c r="AE98" s="305"/>
      <c r="AF98" s="305"/>
      <c r="AG98" s="306"/>
    </row>
    <row r="99" spans="3:33" s="51" customFormat="1" ht="18" thickBot="1">
      <c r="C99" s="327"/>
      <c r="D99" s="328"/>
      <c r="E99" s="328"/>
      <c r="F99" s="328"/>
      <c r="G99" s="328"/>
      <c r="H99" s="328"/>
      <c r="I99" s="328"/>
      <c r="J99" s="329"/>
      <c r="K99" s="330"/>
      <c r="L99" s="331"/>
      <c r="M99" s="332"/>
      <c r="N99" s="333"/>
      <c r="O99" s="331"/>
      <c r="P99" s="331"/>
      <c r="Q99" s="331"/>
      <c r="R99" s="335">
        <f t="shared" si="1"/>
        <v>0</v>
      </c>
      <c r="S99" s="337">
        <f t="shared" si="2"/>
        <v>0</v>
      </c>
      <c r="T99" s="50"/>
      <c r="U99" s="74"/>
      <c r="V99" s="72"/>
      <c r="W99" s="304"/>
      <c r="X99" s="305"/>
      <c r="Y99" s="305"/>
      <c r="Z99" s="305"/>
      <c r="AA99" s="305"/>
      <c r="AB99" s="305"/>
      <c r="AC99" s="305"/>
      <c r="AD99" s="305"/>
      <c r="AE99" s="305"/>
      <c r="AF99" s="305"/>
      <c r="AG99" s="306"/>
    </row>
    <row r="100" spans="3:33" s="51" customFormat="1" ht="18" thickBot="1">
      <c r="C100" s="327"/>
      <c r="D100" s="328"/>
      <c r="E100" s="328"/>
      <c r="F100" s="328"/>
      <c r="G100" s="328"/>
      <c r="H100" s="328"/>
      <c r="I100" s="328"/>
      <c r="J100" s="329"/>
      <c r="K100" s="330"/>
      <c r="L100" s="331"/>
      <c r="M100" s="332"/>
      <c r="N100" s="333"/>
      <c r="O100" s="331"/>
      <c r="P100" s="331"/>
      <c r="Q100" s="331"/>
      <c r="R100" s="335">
        <f t="shared" si="1"/>
        <v>0</v>
      </c>
      <c r="S100" s="337">
        <f t="shared" si="2"/>
        <v>0</v>
      </c>
      <c r="T100" s="50"/>
      <c r="U100" s="74"/>
      <c r="V100" s="72"/>
      <c r="W100" s="304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6"/>
    </row>
    <row r="101" spans="3:33" s="51" customFormat="1" ht="18" thickBot="1">
      <c r="C101" s="327"/>
      <c r="D101" s="328"/>
      <c r="E101" s="328"/>
      <c r="F101" s="328"/>
      <c r="G101" s="328"/>
      <c r="H101" s="328"/>
      <c r="I101" s="328"/>
      <c r="J101" s="329"/>
      <c r="K101" s="330"/>
      <c r="L101" s="331"/>
      <c r="M101" s="332"/>
      <c r="N101" s="333"/>
      <c r="O101" s="331"/>
      <c r="P101" s="331"/>
      <c r="Q101" s="331"/>
      <c r="R101" s="335">
        <f t="shared" si="1"/>
        <v>0</v>
      </c>
      <c r="S101" s="337">
        <f t="shared" si="2"/>
        <v>0</v>
      </c>
      <c r="T101" s="50"/>
      <c r="U101" s="74"/>
      <c r="V101" s="72"/>
      <c r="W101" s="304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6"/>
    </row>
    <row r="102" spans="3:33" s="51" customFormat="1" ht="18" thickBot="1">
      <c r="C102" s="327"/>
      <c r="D102" s="328"/>
      <c r="E102" s="328"/>
      <c r="F102" s="328"/>
      <c r="G102" s="328"/>
      <c r="H102" s="328"/>
      <c r="I102" s="328"/>
      <c r="J102" s="329"/>
      <c r="K102" s="330"/>
      <c r="L102" s="331"/>
      <c r="M102" s="332"/>
      <c r="N102" s="333"/>
      <c r="O102" s="331"/>
      <c r="P102" s="331"/>
      <c r="Q102" s="331"/>
      <c r="R102" s="335">
        <f t="shared" si="1"/>
        <v>0</v>
      </c>
      <c r="S102" s="337">
        <f t="shared" si="2"/>
        <v>0</v>
      </c>
      <c r="T102" s="50"/>
      <c r="U102" s="74"/>
      <c r="V102" s="72"/>
      <c r="W102" s="304"/>
      <c r="X102" s="305"/>
      <c r="Y102" s="305"/>
      <c r="Z102" s="305"/>
      <c r="AA102" s="305"/>
      <c r="AB102" s="305"/>
      <c r="AC102" s="305"/>
      <c r="AD102" s="305"/>
      <c r="AE102" s="305"/>
      <c r="AF102" s="305"/>
      <c r="AG102" s="306"/>
    </row>
    <row r="103" spans="3:33" s="51" customFormat="1" ht="18" thickBot="1">
      <c r="C103" s="327"/>
      <c r="D103" s="328"/>
      <c r="E103" s="328"/>
      <c r="F103" s="328"/>
      <c r="G103" s="328"/>
      <c r="H103" s="328"/>
      <c r="I103" s="328"/>
      <c r="J103" s="329"/>
      <c r="K103" s="330"/>
      <c r="L103" s="331"/>
      <c r="M103" s="332"/>
      <c r="N103" s="333"/>
      <c r="O103" s="331"/>
      <c r="P103" s="331"/>
      <c r="Q103" s="331"/>
      <c r="R103" s="335">
        <f t="shared" si="1"/>
        <v>0</v>
      </c>
      <c r="S103" s="337">
        <f t="shared" si="2"/>
        <v>0</v>
      </c>
      <c r="T103" s="50"/>
      <c r="U103" s="74"/>
      <c r="V103" s="72"/>
      <c r="W103" s="304"/>
      <c r="X103" s="305"/>
      <c r="Y103" s="305"/>
      <c r="Z103" s="305"/>
      <c r="AA103" s="305"/>
      <c r="AB103" s="305"/>
      <c r="AC103" s="305"/>
      <c r="AD103" s="305"/>
      <c r="AE103" s="305"/>
      <c r="AF103" s="305"/>
      <c r="AG103" s="306"/>
    </row>
    <row r="104" spans="3:33" s="51" customFormat="1" ht="18" thickBot="1">
      <c r="C104" s="327"/>
      <c r="D104" s="328"/>
      <c r="E104" s="328"/>
      <c r="F104" s="328"/>
      <c r="G104" s="328"/>
      <c r="H104" s="328"/>
      <c r="I104" s="328"/>
      <c r="J104" s="329"/>
      <c r="K104" s="330"/>
      <c r="L104" s="331"/>
      <c r="M104" s="332"/>
      <c r="N104" s="333"/>
      <c r="O104" s="331"/>
      <c r="P104" s="331"/>
      <c r="Q104" s="331"/>
      <c r="R104" s="335">
        <f t="shared" si="1"/>
        <v>0</v>
      </c>
      <c r="S104" s="337">
        <f t="shared" si="2"/>
        <v>0</v>
      </c>
      <c r="T104" s="50"/>
      <c r="U104" s="74"/>
      <c r="V104" s="72"/>
      <c r="W104" s="304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306"/>
    </row>
    <row r="105" spans="3:33" s="51" customFormat="1" ht="18" thickBot="1">
      <c r="C105" s="327"/>
      <c r="D105" s="328"/>
      <c r="E105" s="328"/>
      <c r="F105" s="328"/>
      <c r="G105" s="328"/>
      <c r="H105" s="328"/>
      <c r="I105" s="328"/>
      <c r="J105" s="329"/>
      <c r="K105" s="330"/>
      <c r="L105" s="331"/>
      <c r="M105" s="332"/>
      <c r="N105" s="333"/>
      <c r="O105" s="331"/>
      <c r="P105" s="331"/>
      <c r="Q105" s="331"/>
      <c r="R105" s="335">
        <f t="shared" si="1"/>
        <v>0</v>
      </c>
      <c r="S105" s="337">
        <f t="shared" si="2"/>
        <v>0</v>
      </c>
      <c r="T105" s="50"/>
      <c r="U105" s="74"/>
      <c r="V105" s="72"/>
      <c r="W105" s="304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6"/>
    </row>
    <row r="106" spans="3:33" s="51" customFormat="1" ht="18" thickBot="1">
      <c r="C106" s="327"/>
      <c r="D106" s="328"/>
      <c r="E106" s="328"/>
      <c r="F106" s="328"/>
      <c r="G106" s="328"/>
      <c r="H106" s="328"/>
      <c r="I106" s="328"/>
      <c r="J106" s="329"/>
      <c r="K106" s="330"/>
      <c r="L106" s="331"/>
      <c r="M106" s="332"/>
      <c r="N106" s="333"/>
      <c r="O106" s="331"/>
      <c r="P106" s="331"/>
      <c r="Q106" s="331"/>
      <c r="R106" s="335">
        <f t="shared" si="1"/>
        <v>0</v>
      </c>
      <c r="S106" s="337">
        <f t="shared" si="2"/>
        <v>0</v>
      </c>
      <c r="T106" s="50"/>
      <c r="U106" s="74"/>
      <c r="V106" s="72"/>
      <c r="W106" s="304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6"/>
    </row>
    <row r="107" spans="3:33" s="51" customFormat="1" ht="18" thickBot="1">
      <c r="C107" s="327"/>
      <c r="D107" s="328"/>
      <c r="E107" s="328"/>
      <c r="F107" s="328"/>
      <c r="G107" s="328"/>
      <c r="H107" s="328"/>
      <c r="I107" s="328"/>
      <c r="J107" s="329"/>
      <c r="K107" s="330"/>
      <c r="L107" s="331"/>
      <c r="M107" s="332"/>
      <c r="N107" s="333"/>
      <c r="O107" s="331"/>
      <c r="P107" s="331"/>
      <c r="Q107" s="331"/>
      <c r="R107" s="335">
        <f t="shared" si="1"/>
        <v>0</v>
      </c>
      <c r="S107" s="337">
        <f t="shared" si="2"/>
        <v>0</v>
      </c>
      <c r="T107" s="50"/>
      <c r="U107" s="74"/>
      <c r="V107" s="72"/>
      <c r="W107" s="304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6"/>
    </row>
    <row r="108" spans="3:33" s="51" customFormat="1" ht="18" thickBot="1">
      <c r="C108" s="327"/>
      <c r="D108" s="328"/>
      <c r="E108" s="328"/>
      <c r="F108" s="328"/>
      <c r="G108" s="328"/>
      <c r="H108" s="328"/>
      <c r="I108" s="328"/>
      <c r="J108" s="329"/>
      <c r="K108" s="330"/>
      <c r="L108" s="331"/>
      <c r="M108" s="332"/>
      <c r="N108" s="333"/>
      <c r="O108" s="331"/>
      <c r="P108" s="331"/>
      <c r="Q108" s="331"/>
      <c r="R108" s="335">
        <f t="shared" si="1"/>
        <v>0</v>
      </c>
      <c r="S108" s="337">
        <f t="shared" si="2"/>
        <v>0</v>
      </c>
      <c r="T108" s="50"/>
      <c r="U108" s="74"/>
      <c r="V108" s="72"/>
      <c r="W108" s="304"/>
      <c r="X108" s="305"/>
      <c r="Y108" s="305"/>
      <c r="Z108" s="305"/>
      <c r="AA108" s="305"/>
      <c r="AB108" s="305"/>
      <c r="AC108" s="305"/>
      <c r="AD108" s="305"/>
      <c r="AE108" s="305"/>
      <c r="AF108" s="305"/>
      <c r="AG108" s="306"/>
    </row>
    <row r="109" spans="3:33" s="51" customFormat="1" ht="18" thickBot="1">
      <c r="C109" s="327"/>
      <c r="D109" s="328"/>
      <c r="E109" s="328"/>
      <c r="F109" s="328"/>
      <c r="G109" s="328"/>
      <c r="H109" s="328"/>
      <c r="I109" s="328"/>
      <c r="J109" s="329"/>
      <c r="K109" s="330"/>
      <c r="L109" s="331"/>
      <c r="M109" s="332"/>
      <c r="N109" s="333"/>
      <c r="O109" s="331"/>
      <c r="P109" s="331"/>
      <c r="Q109" s="331"/>
      <c r="R109" s="335">
        <f t="shared" si="1"/>
        <v>0</v>
      </c>
      <c r="S109" s="337">
        <f t="shared" si="2"/>
        <v>0</v>
      </c>
      <c r="T109" s="50"/>
      <c r="U109" s="74"/>
      <c r="V109" s="72"/>
      <c r="W109" s="304"/>
      <c r="X109" s="305"/>
      <c r="Y109" s="305"/>
      <c r="Z109" s="305"/>
      <c r="AA109" s="305"/>
      <c r="AB109" s="305"/>
      <c r="AC109" s="305"/>
      <c r="AD109" s="305"/>
      <c r="AE109" s="305"/>
      <c r="AF109" s="305"/>
      <c r="AG109" s="306"/>
    </row>
    <row r="110" spans="3:33" s="51" customFormat="1" ht="18" thickBot="1">
      <c r="C110" s="327"/>
      <c r="D110" s="328"/>
      <c r="E110" s="328"/>
      <c r="F110" s="328"/>
      <c r="G110" s="328"/>
      <c r="H110" s="328"/>
      <c r="I110" s="328"/>
      <c r="J110" s="329"/>
      <c r="K110" s="330"/>
      <c r="L110" s="331"/>
      <c r="M110" s="332"/>
      <c r="N110" s="333"/>
      <c r="O110" s="331"/>
      <c r="P110" s="331"/>
      <c r="Q110" s="331"/>
      <c r="R110" s="335">
        <f t="shared" si="1"/>
        <v>0</v>
      </c>
      <c r="S110" s="337">
        <f t="shared" si="2"/>
        <v>0</v>
      </c>
      <c r="T110" s="50"/>
      <c r="U110" s="74"/>
      <c r="V110" s="72"/>
      <c r="W110" s="304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6"/>
    </row>
    <row r="111" spans="3:33" s="51" customFormat="1" ht="18" thickBot="1">
      <c r="C111" s="327"/>
      <c r="D111" s="328"/>
      <c r="E111" s="328"/>
      <c r="F111" s="328"/>
      <c r="G111" s="328"/>
      <c r="H111" s="328"/>
      <c r="I111" s="328"/>
      <c r="J111" s="329"/>
      <c r="K111" s="330"/>
      <c r="L111" s="331"/>
      <c r="M111" s="332"/>
      <c r="N111" s="333"/>
      <c r="O111" s="331"/>
      <c r="P111" s="331"/>
      <c r="Q111" s="331"/>
      <c r="R111" s="335">
        <f t="shared" si="1"/>
        <v>0</v>
      </c>
      <c r="S111" s="337">
        <f t="shared" si="2"/>
        <v>0</v>
      </c>
      <c r="T111" s="50"/>
      <c r="U111" s="74"/>
      <c r="V111" s="72"/>
      <c r="W111" s="304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6"/>
    </row>
    <row r="112" spans="3:33" s="51" customFormat="1" ht="18" thickBot="1">
      <c r="C112" s="327"/>
      <c r="D112" s="328"/>
      <c r="E112" s="328"/>
      <c r="F112" s="328"/>
      <c r="G112" s="328"/>
      <c r="H112" s="328"/>
      <c r="I112" s="328"/>
      <c r="J112" s="329"/>
      <c r="K112" s="330"/>
      <c r="L112" s="331"/>
      <c r="M112" s="332"/>
      <c r="N112" s="333"/>
      <c r="O112" s="331"/>
      <c r="P112" s="331"/>
      <c r="Q112" s="331"/>
      <c r="R112" s="335">
        <f t="shared" si="1"/>
        <v>0</v>
      </c>
      <c r="S112" s="337">
        <f t="shared" si="2"/>
        <v>0</v>
      </c>
      <c r="T112" s="50"/>
      <c r="U112" s="74"/>
      <c r="V112" s="72"/>
      <c r="W112" s="304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6"/>
    </row>
    <row r="113" spans="3:33" s="51" customFormat="1" ht="18" thickBot="1">
      <c r="C113" s="327"/>
      <c r="D113" s="328"/>
      <c r="E113" s="328"/>
      <c r="F113" s="328"/>
      <c r="G113" s="328"/>
      <c r="H113" s="328"/>
      <c r="I113" s="328"/>
      <c r="J113" s="329"/>
      <c r="K113" s="330"/>
      <c r="L113" s="331"/>
      <c r="M113" s="332"/>
      <c r="N113" s="333"/>
      <c r="O113" s="331"/>
      <c r="P113" s="331"/>
      <c r="Q113" s="331"/>
      <c r="R113" s="335">
        <f t="shared" si="1"/>
        <v>0</v>
      </c>
      <c r="S113" s="337">
        <f t="shared" si="2"/>
        <v>0</v>
      </c>
      <c r="T113" s="50"/>
      <c r="U113" s="74"/>
      <c r="V113" s="72"/>
      <c r="W113" s="304"/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6"/>
    </row>
    <row r="114" spans="3:33" s="51" customFormat="1" ht="18" thickBot="1">
      <c r="C114" s="327"/>
      <c r="D114" s="328"/>
      <c r="E114" s="328"/>
      <c r="F114" s="328"/>
      <c r="G114" s="328"/>
      <c r="H114" s="328"/>
      <c r="I114" s="328"/>
      <c r="J114" s="329"/>
      <c r="K114" s="330"/>
      <c r="L114" s="331"/>
      <c r="M114" s="332"/>
      <c r="N114" s="333"/>
      <c r="O114" s="331"/>
      <c r="P114" s="331"/>
      <c r="Q114" s="331"/>
      <c r="R114" s="335">
        <f t="shared" si="1"/>
        <v>0</v>
      </c>
      <c r="S114" s="337">
        <f t="shared" si="2"/>
        <v>0</v>
      </c>
      <c r="T114" s="50"/>
      <c r="U114" s="74"/>
      <c r="V114" s="72"/>
      <c r="W114" s="304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6"/>
    </row>
    <row r="115" spans="3:33" s="51" customFormat="1" ht="18" thickBot="1">
      <c r="C115" s="327"/>
      <c r="D115" s="328"/>
      <c r="E115" s="328"/>
      <c r="F115" s="328"/>
      <c r="G115" s="328"/>
      <c r="H115" s="328"/>
      <c r="I115" s="328"/>
      <c r="J115" s="329"/>
      <c r="K115" s="330"/>
      <c r="L115" s="331"/>
      <c r="M115" s="332"/>
      <c r="N115" s="333"/>
      <c r="O115" s="331"/>
      <c r="P115" s="331"/>
      <c r="Q115" s="331"/>
      <c r="R115" s="335">
        <f t="shared" si="1"/>
        <v>0</v>
      </c>
      <c r="S115" s="337">
        <f t="shared" si="2"/>
        <v>0</v>
      </c>
      <c r="T115" s="50"/>
      <c r="U115" s="74"/>
      <c r="V115" s="72"/>
      <c r="W115" s="304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6"/>
    </row>
    <row r="116" spans="3:33" s="51" customFormat="1" ht="18" thickBot="1">
      <c r="C116" s="327"/>
      <c r="D116" s="328"/>
      <c r="E116" s="328"/>
      <c r="F116" s="328"/>
      <c r="G116" s="328"/>
      <c r="H116" s="328"/>
      <c r="I116" s="328"/>
      <c r="J116" s="329"/>
      <c r="K116" s="330"/>
      <c r="L116" s="331"/>
      <c r="M116" s="332"/>
      <c r="N116" s="333"/>
      <c r="O116" s="331"/>
      <c r="P116" s="331"/>
      <c r="Q116" s="331"/>
      <c r="R116" s="335">
        <f t="shared" ref="R116:R179" si="3">N116*(1+O116)*(1+P116)</f>
        <v>0</v>
      </c>
      <c r="S116" s="337">
        <f t="shared" ref="S116:S179" si="4">IF(OR(K116&lt;&gt;0,K116&lt;&gt;""),(K116+L116)*R116,R116*(J116+L116))</f>
        <v>0</v>
      </c>
      <c r="T116" s="50"/>
      <c r="U116" s="74"/>
      <c r="V116" s="72"/>
      <c r="W116" s="304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6"/>
    </row>
    <row r="117" spans="3:33" s="51" customFormat="1" ht="18" thickBot="1">
      <c r="C117" s="327"/>
      <c r="D117" s="328"/>
      <c r="E117" s="328"/>
      <c r="F117" s="328"/>
      <c r="G117" s="328"/>
      <c r="H117" s="328"/>
      <c r="I117" s="328"/>
      <c r="J117" s="329"/>
      <c r="K117" s="330"/>
      <c r="L117" s="331"/>
      <c r="M117" s="332"/>
      <c r="N117" s="333"/>
      <c r="O117" s="331"/>
      <c r="P117" s="331"/>
      <c r="Q117" s="331"/>
      <c r="R117" s="335">
        <f t="shared" si="3"/>
        <v>0</v>
      </c>
      <c r="S117" s="337">
        <f t="shared" si="4"/>
        <v>0</v>
      </c>
      <c r="T117" s="50"/>
      <c r="U117" s="74"/>
      <c r="V117" s="72"/>
      <c r="W117" s="304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6"/>
    </row>
    <row r="118" spans="3:33" s="51" customFormat="1" ht="18" thickBot="1">
      <c r="C118" s="327"/>
      <c r="D118" s="328"/>
      <c r="E118" s="328"/>
      <c r="F118" s="328"/>
      <c r="G118" s="328"/>
      <c r="H118" s="328"/>
      <c r="I118" s="328"/>
      <c r="J118" s="329"/>
      <c r="K118" s="330"/>
      <c r="L118" s="331"/>
      <c r="M118" s="332"/>
      <c r="N118" s="333"/>
      <c r="O118" s="331"/>
      <c r="P118" s="331"/>
      <c r="Q118" s="331"/>
      <c r="R118" s="335">
        <f t="shared" si="3"/>
        <v>0</v>
      </c>
      <c r="S118" s="337">
        <f t="shared" si="4"/>
        <v>0</v>
      </c>
      <c r="T118" s="50"/>
      <c r="U118" s="74"/>
      <c r="V118" s="72"/>
      <c r="W118" s="304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6"/>
    </row>
    <row r="119" spans="3:33" s="51" customFormat="1" ht="18" thickBot="1">
      <c r="C119" s="327"/>
      <c r="D119" s="328"/>
      <c r="E119" s="328"/>
      <c r="F119" s="328"/>
      <c r="G119" s="328"/>
      <c r="H119" s="328"/>
      <c r="I119" s="328"/>
      <c r="J119" s="329"/>
      <c r="K119" s="330"/>
      <c r="L119" s="331"/>
      <c r="M119" s="332"/>
      <c r="N119" s="333"/>
      <c r="O119" s="331"/>
      <c r="P119" s="331"/>
      <c r="Q119" s="331"/>
      <c r="R119" s="335">
        <f t="shared" si="3"/>
        <v>0</v>
      </c>
      <c r="S119" s="337">
        <f t="shared" si="4"/>
        <v>0</v>
      </c>
      <c r="T119" s="50"/>
      <c r="U119" s="74"/>
      <c r="V119" s="72"/>
      <c r="W119" s="304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6"/>
    </row>
    <row r="120" spans="3:33" s="51" customFormat="1" ht="18" thickBot="1">
      <c r="C120" s="327"/>
      <c r="D120" s="328"/>
      <c r="E120" s="328"/>
      <c r="F120" s="328"/>
      <c r="G120" s="328"/>
      <c r="H120" s="328"/>
      <c r="I120" s="328"/>
      <c r="J120" s="329"/>
      <c r="K120" s="330"/>
      <c r="L120" s="331"/>
      <c r="M120" s="332"/>
      <c r="N120" s="333"/>
      <c r="O120" s="331"/>
      <c r="P120" s="331"/>
      <c r="Q120" s="331"/>
      <c r="R120" s="335">
        <f t="shared" si="3"/>
        <v>0</v>
      </c>
      <c r="S120" s="337">
        <f t="shared" si="4"/>
        <v>0</v>
      </c>
      <c r="T120" s="50"/>
      <c r="U120" s="74"/>
      <c r="V120" s="72"/>
      <c r="W120" s="304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6"/>
    </row>
    <row r="121" spans="3:33" s="51" customFormat="1" ht="18" thickBot="1">
      <c r="C121" s="327"/>
      <c r="D121" s="328"/>
      <c r="E121" s="328"/>
      <c r="F121" s="328"/>
      <c r="G121" s="328"/>
      <c r="H121" s="328"/>
      <c r="I121" s="328"/>
      <c r="J121" s="329"/>
      <c r="K121" s="330"/>
      <c r="L121" s="331"/>
      <c r="M121" s="332"/>
      <c r="N121" s="333"/>
      <c r="O121" s="331"/>
      <c r="P121" s="331"/>
      <c r="Q121" s="331"/>
      <c r="R121" s="335">
        <f t="shared" si="3"/>
        <v>0</v>
      </c>
      <c r="S121" s="337">
        <f t="shared" si="4"/>
        <v>0</v>
      </c>
      <c r="T121" s="50"/>
      <c r="U121" s="74"/>
      <c r="V121" s="72"/>
      <c r="W121" s="304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6"/>
    </row>
    <row r="122" spans="3:33" s="51" customFormat="1" ht="18" thickBot="1">
      <c r="C122" s="327"/>
      <c r="D122" s="328"/>
      <c r="E122" s="328"/>
      <c r="F122" s="328"/>
      <c r="G122" s="328"/>
      <c r="H122" s="328"/>
      <c r="I122" s="328"/>
      <c r="J122" s="329"/>
      <c r="K122" s="330"/>
      <c r="L122" s="331"/>
      <c r="M122" s="332"/>
      <c r="N122" s="333"/>
      <c r="O122" s="331"/>
      <c r="P122" s="331"/>
      <c r="Q122" s="331"/>
      <c r="R122" s="335">
        <f t="shared" si="3"/>
        <v>0</v>
      </c>
      <c r="S122" s="337">
        <f t="shared" si="4"/>
        <v>0</v>
      </c>
      <c r="T122" s="50"/>
      <c r="U122" s="74"/>
      <c r="V122" s="72"/>
      <c r="W122" s="304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6"/>
    </row>
    <row r="123" spans="3:33" s="51" customFormat="1" ht="18" thickBot="1">
      <c r="C123" s="327"/>
      <c r="D123" s="328"/>
      <c r="E123" s="328"/>
      <c r="F123" s="328"/>
      <c r="G123" s="328"/>
      <c r="H123" s="328"/>
      <c r="I123" s="328"/>
      <c r="J123" s="329"/>
      <c r="K123" s="330"/>
      <c r="L123" s="331"/>
      <c r="M123" s="332"/>
      <c r="N123" s="333"/>
      <c r="O123" s="331"/>
      <c r="P123" s="331"/>
      <c r="Q123" s="331"/>
      <c r="R123" s="335">
        <f t="shared" si="3"/>
        <v>0</v>
      </c>
      <c r="S123" s="337">
        <f t="shared" si="4"/>
        <v>0</v>
      </c>
      <c r="T123" s="50"/>
      <c r="U123" s="74"/>
      <c r="V123" s="72"/>
      <c r="W123" s="304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6"/>
    </row>
    <row r="124" spans="3:33" s="51" customFormat="1" ht="18" thickBot="1">
      <c r="C124" s="327"/>
      <c r="D124" s="328"/>
      <c r="E124" s="328"/>
      <c r="F124" s="328"/>
      <c r="G124" s="328"/>
      <c r="H124" s="328"/>
      <c r="I124" s="328"/>
      <c r="J124" s="329"/>
      <c r="K124" s="330"/>
      <c r="L124" s="331"/>
      <c r="M124" s="332"/>
      <c r="N124" s="333"/>
      <c r="O124" s="331"/>
      <c r="P124" s="331"/>
      <c r="Q124" s="331"/>
      <c r="R124" s="335">
        <f t="shared" si="3"/>
        <v>0</v>
      </c>
      <c r="S124" s="337">
        <f t="shared" si="4"/>
        <v>0</v>
      </c>
      <c r="T124" s="50"/>
      <c r="U124" s="74"/>
      <c r="V124" s="72"/>
      <c r="W124" s="304"/>
      <c r="X124" s="305"/>
      <c r="Y124" s="305"/>
      <c r="Z124" s="305"/>
      <c r="AA124" s="305"/>
      <c r="AB124" s="305"/>
      <c r="AC124" s="305"/>
      <c r="AD124" s="305"/>
      <c r="AE124" s="305"/>
      <c r="AF124" s="305"/>
      <c r="AG124" s="306"/>
    </row>
    <row r="125" spans="3:33" s="51" customFormat="1" ht="18" thickBot="1">
      <c r="C125" s="327"/>
      <c r="D125" s="328"/>
      <c r="E125" s="328"/>
      <c r="F125" s="328"/>
      <c r="G125" s="328"/>
      <c r="H125" s="328"/>
      <c r="I125" s="328"/>
      <c r="J125" s="329"/>
      <c r="K125" s="330"/>
      <c r="L125" s="331"/>
      <c r="M125" s="332"/>
      <c r="N125" s="333"/>
      <c r="O125" s="331"/>
      <c r="P125" s="331"/>
      <c r="Q125" s="331"/>
      <c r="R125" s="335">
        <f t="shared" si="3"/>
        <v>0</v>
      </c>
      <c r="S125" s="337">
        <f t="shared" si="4"/>
        <v>0</v>
      </c>
      <c r="T125" s="50"/>
      <c r="U125" s="74"/>
      <c r="V125" s="72"/>
      <c r="W125" s="304"/>
      <c r="X125" s="305"/>
      <c r="Y125" s="305"/>
      <c r="Z125" s="305"/>
      <c r="AA125" s="305"/>
      <c r="AB125" s="305"/>
      <c r="AC125" s="305"/>
      <c r="AD125" s="305"/>
      <c r="AE125" s="305"/>
      <c r="AF125" s="305"/>
      <c r="AG125" s="306"/>
    </row>
    <row r="126" spans="3:33" s="51" customFormat="1" ht="18" thickBot="1">
      <c r="C126" s="327"/>
      <c r="D126" s="328"/>
      <c r="E126" s="328"/>
      <c r="F126" s="328"/>
      <c r="G126" s="328"/>
      <c r="H126" s="328"/>
      <c r="I126" s="328"/>
      <c r="J126" s="329"/>
      <c r="K126" s="330"/>
      <c r="L126" s="331"/>
      <c r="M126" s="332"/>
      <c r="N126" s="333"/>
      <c r="O126" s="331"/>
      <c r="P126" s="331"/>
      <c r="Q126" s="331"/>
      <c r="R126" s="335">
        <f t="shared" si="3"/>
        <v>0</v>
      </c>
      <c r="S126" s="337">
        <f t="shared" si="4"/>
        <v>0</v>
      </c>
      <c r="T126" s="50"/>
      <c r="U126" s="74"/>
      <c r="V126" s="72"/>
      <c r="W126" s="304"/>
      <c r="X126" s="305"/>
      <c r="Y126" s="305"/>
      <c r="Z126" s="305"/>
      <c r="AA126" s="305"/>
      <c r="AB126" s="305"/>
      <c r="AC126" s="305"/>
      <c r="AD126" s="305"/>
      <c r="AE126" s="305"/>
      <c r="AF126" s="305"/>
      <c r="AG126" s="306"/>
    </row>
    <row r="127" spans="3:33" s="51" customFormat="1" ht="18" thickBot="1">
      <c r="C127" s="327"/>
      <c r="D127" s="328"/>
      <c r="E127" s="328"/>
      <c r="F127" s="328"/>
      <c r="G127" s="328"/>
      <c r="H127" s="328"/>
      <c r="I127" s="328"/>
      <c r="J127" s="329"/>
      <c r="K127" s="330"/>
      <c r="L127" s="331"/>
      <c r="M127" s="332"/>
      <c r="N127" s="333"/>
      <c r="O127" s="331"/>
      <c r="P127" s="331"/>
      <c r="Q127" s="331"/>
      <c r="R127" s="335">
        <f t="shared" si="3"/>
        <v>0</v>
      </c>
      <c r="S127" s="337">
        <f t="shared" si="4"/>
        <v>0</v>
      </c>
      <c r="T127" s="50"/>
      <c r="U127" s="74"/>
      <c r="V127" s="72"/>
      <c r="W127" s="304"/>
      <c r="X127" s="305"/>
      <c r="Y127" s="305"/>
      <c r="Z127" s="305"/>
      <c r="AA127" s="305"/>
      <c r="AB127" s="305"/>
      <c r="AC127" s="305"/>
      <c r="AD127" s="305"/>
      <c r="AE127" s="305"/>
      <c r="AF127" s="305"/>
      <c r="AG127" s="306"/>
    </row>
    <row r="128" spans="3:33" s="51" customFormat="1" ht="18" thickBot="1">
      <c r="C128" s="327"/>
      <c r="D128" s="328"/>
      <c r="E128" s="328"/>
      <c r="F128" s="328"/>
      <c r="G128" s="328"/>
      <c r="H128" s="328"/>
      <c r="I128" s="328"/>
      <c r="J128" s="329"/>
      <c r="K128" s="330"/>
      <c r="L128" s="331"/>
      <c r="M128" s="332"/>
      <c r="N128" s="333"/>
      <c r="O128" s="331"/>
      <c r="P128" s="331"/>
      <c r="Q128" s="331"/>
      <c r="R128" s="335">
        <f t="shared" si="3"/>
        <v>0</v>
      </c>
      <c r="S128" s="337">
        <f t="shared" si="4"/>
        <v>0</v>
      </c>
      <c r="T128" s="50"/>
      <c r="U128" s="74"/>
      <c r="V128" s="72"/>
      <c r="W128" s="304"/>
      <c r="X128" s="305"/>
      <c r="Y128" s="305"/>
      <c r="Z128" s="305"/>
      <c r="AA128" s="305"/>
      <c r="AB128" s="305"/>
      <c r="AC128" s="305"/>
      <c r="AD128" s="305"/>
      <c r="AE128" s="305"/>
      <c r="AF128" s="305"/>
      <c r="AG128" s="306"/>
    </row>
    <row r="129" spans="3:33" s="51" customFormat="1" ht="18" thickBot="1">
      <c r="C129" s="327"/>
      <c r="D129" s="328"/>
      <c r="E129" s="328"/>
      <c r="F129" s="328"/>
      <c r="G129" s="328"/>
      <c r="H129" s="328"/>
      <c r="I129" s="328"/>
      <c r="J129" s="329"/>
      <c r="K129" s="330"/>
      <c r="L129" s="331"/>
      <c r="M129" s="332"/>
      <c r="N129" s="333"/>
      <c r="O129" s="331"/>
      <c r="P129" s="331"/>
      <c r="Q129" s="331"/>
      <c r="R129" s="335">
        <f t="shared" si="3"/>
        <v>0</v>
      </c>
      <c r="S129" s="337">
        <f t="shared" si="4"/>
        <v>0</v>
      </c>
      <c r="T129" s="50"/>
      <c r="U129" s="74"/>
      <c r="V129" s="72"/>
      <c r="W129" s="304"/>
      <c r="X129" s="305"/>
      <c r="Y129" s="305"/>
      <c r="Z129" s="305"/>
      <c r="AA129" s="305"/>
      <c r="AB129" s="305"/>
      <c r="AC129" s="305"/>
      <c r="AD129" s="305"/>
      <c r="AE129" s="305"/>
      <c r="AF129" s="305"/>
      <c r="AG129" s="306"/>
    </row>
    <row r="130" spans="3:33" s="51" customFormat="1" ht="18" thickBot="1">
      <c r="C130" s="327"/>
      <c r="D130" s="328"/>
      <c r="E130" s="328"/>
      <c r="F130" s="328"/>
      <c r="G130" s="328"/>
      <c r="H130" s="328"/>
      <c r="I130" s="328"/>
      <c r="J130" s="329"/>
      <c r="K130" s="330"/>
      <c r="L130" s="331"/>
      <c r="M130" s="332"/>
      <c r="N130" s="333"/>
      <c r="O130" s="331"/>
      <c r="P130" s="331"/>
      <c r="Q130" s="331"/>
      <c r="R130" s="335">
        <f t="shared" si="3"/>
        <v>0</v>
      </c>
      <c r="S130" s="337">
        <f t="shared" si="4"/>
        <v>0</v>
      </c>
      <c r="T130" s="50"/>
      <c r="U130" s="74"/>
      <c r="V130" s="72"/>
      <c r="W130" s="304"/>
      <c r="X130" s="305"/>
      <c r="Y130" s="305"/>
      <c r="Z130" s="305"/>
      <c r="AA130" s="305"/>
      <c r="AB130" s="305"/>
      <c r="AC130" s="305"/>
      <c r="AD130" s="305"/>
      <c r="AE130" s="305"/>
      <c r="AF130" s="305"/>
      <c r="AG130" s="306"/>
    </row>
    <row r="131" spans="3:33" s="51" customFormat="1" ht="18" thickBot="1">
      <c r="C131" s="327"/>
      <c r="D131" s="328"/>
      <c r="E131" s="328"/>
      <c r="F131" s="328"/>
      <c r="G131" s="328"/>
      <c r="H131" s="328"/>
      <c r="I131" s="328"/>
      <c r="J131" s="329"/>
      <c r="K131" s="330"/>
      <c r="L131" s="331"/>
      <c r="M131" s="332"/>
      <c r="N131" s="333"/>
      <c r="O131" s="331"/>
      <c r="P131" s="331"/>
      <c r="Q131" s="331"/>
      <c r="R131" s="335">
        <f t="shared" si="3"/>
        <v>0</v>
      </c>
      <c r="S131" s="337">
        <f t="shared" si="4"/>
        <v>0</v>
      </c>
      <c r="T131" s="50"/>
      <c r="U131" s="74"/>
      <c r="V131" s="72"/>
      <c r="W131" s="304"/>
      <c r="X131" s="305"/>
      <c r="Y131" s="305"/>
      <c r="Z131" s="305"/>
      <c r="AA131" s="305"/>
      <c r="AB131" s="305"/>
      <c r="AC131" s="305"/>
      <c r="AD131" s="305"/>
      <c r="AE131" s="305"/>
      <c r="AF131" s="305"/>
      <c r="AG131" s="306"/>
    </row>
    <row r="132" spans="3:33" s="51" customFormat="1" ht="18" thickBot="1">
      <c r="C132" s="327"/>
      <c r="D132" s="328"/>
      <c r="E132" s="328"/>
      <c r="F132" s="328"/>
      <c r="G132" s="328"/>
      <c r="H132" s="328"/>
      <c r="I132" s="328"/>
      <c r="J132" s="329"/>
      <c r="K132" s="330"/>
      <c r="L132" s="331"/>
      <c r="M132" s="332"/>
      <c r="N132" s="333"/>
      <c r="O132" s="331"/>
      <c r="P132" s="331"/>
      <c r="Q132" s="331"/>
      <c r="R132" s="335">
        <f t="shared" si="3"/>
        <v>0</v>
      </c>
      <c r="S132" s="337">
        <f t="shared" si="4"/>
        <v>0</v>
      </c>
      <c r="T132" s="50"/>
      <c r="U132" s="74"/>
      <c r="V132" s="72"/>
      <c r="W132" s="304"/>
      <c r="X132" s="305"/>
      <c r="Y132" s="305"/>
      <c r="Z132" s="305"/>
      <c r="AA132" s="305"/>
      <c r="AB132" s="305"/>
      <c r="AC132" s="305"/>
      <c r="AD132" s="305"/>
      <c r="AE132" s="305"/>
      <c r="AF132" s="305"/>
      <c r="AG132" s="306"/>
    </row>
    <row r="133" spans="3:33" s="51" customFormat="1" ht="18" thickBot="1">
      <c r="C133" s="327"/>
      <c r="D133" s="328"/>
      <c r="E133" s="328"/>
      <c r="F133" s="328"/>
      <c r="G133" s="328"/>
      <c r="H133" s="328"/>
      <c r="I133" s="328"/>
      <c r="J133" s="329"/>
      <c r="K133" s="330"/>
      <c r="L133" s="331"/>
      <c r="M133" s="332"/>
      <c r="N133" s="333"/>
      <c r="O133" s="331"/>
      <c r="P133" s="331"/>
      <c r="Q133" s="331"/>
      <c r="R133" s="335">
        <f t="shared" si="3"/>
        <v>0</v>
      </c>
      <c r="S133" s="337">
        <f t="shared" si="4"/>
        <v>0</v>
      </c>
      <c r="T133" s="50"/>
      <c r="U133" s="74"/>
      <c r="V133" s="72"/>
      <c r="W133" s="304"/>
      <c r="X133" s="305"/>
      <c r="Y133" s="305"/>
      <c r="Z133" s="305"/>
      <c r="AA133" s="305"/>
      <c r="AB133" s="305"/>
      <c r="AC133" s="305"/>
      <c r="AD133" s="305"/>
      <c r="AE133" s="305"/>
      <c r="AF133" s="305"/>
      <c r="AG133" s="306"/>
    </row>
    <row r="134" spans="3:33" s="51" customFormat="1" ht="18" thickBot="1">
      <c r="C134" s="327"/>
      <c r="D134" s="328"/>
      <c r="E134" s="328"/>
      <c r="F134" s="328"/>
      <c r="G134" s="328"/>
      <c r="H134" s="328"/>
      <c r="I134" s="328"/>
      <c r="J134" s="329"/>
      <c r="K134" s="330"/>
      <c r="L134" s="331"/>
      <c r="M134" s="332"/>
      <c r="N134" s="333"/>
      <c r="O134" s="331"/>
      <c r="P134" s="331"/>
      <c r="Q134" s="331"/>
      <c r="R134" s="335">
        <f t="shared" si="3"/>
        <v>0</v>
      </c>
      <c r="S134" s="337">
        <f t="shared" si="4"/>
        <v>0</v>
      </c>
      <c r="T134" s="50"/>
      <c r="U134" s="74"/>
      <c r="V134" s="72"/>
      <c r="W134" s="304"/>
      <c r="X134" s="305"/>
      <c r="Y134" s="305"/>
      <c r="Z134" s="305"/>
      <c r="AA134" s="305"/>
      <c r="AB134" s="305"/>
      <c r="AC134" s="305"/>
      <c r="AD134" s="305"/>
      <c r="AE134" s="305"/>
      <c r="AF134" s="305"/>
      <c r="AG134" s="306"/>
    </row>
    <row r="135" spans="3:33" s="51" customFormat="1" ht="18" thickBot="1">
      <c r="C135" s="327"/>
      <c r="D135" s="328"/>
      <c r="E135" s="328"/>
      <c r="F135" s="328"/>
      <c r="G135" s="328"/>
      <c r="H135" s="328"/>
      <c r="I135" s="328"/>
      <c r="J135" s="329"/>
      <c r="K135" s="330"/>
      <c r="L135" s="331"/>
      <c r="M135" s="332"/>
      <c r="N135" s="333"/>
      <c r="O135" s="331"/>
      <c r="P135" s="331"/>
      <c r="Q135" s="331"/>
      <c r="R135" s="335">
        <f t="shared" si="3"/>
        <v>0</v>
      </c>
      <c r="S135" s="337">
        <f t="shared" si="4"/>
        <v>0</v>
      </c>
      <c r="T135" s="50"/>
      <c r="U135" s="74"/>
      <c r="V135" s="72"/>
      <c r="W135" s="304"/>
      <c r="X135" s="305"/>
      <c r="Y135" s="305"/>
      <c r="Z135" s="305"/>
      <c r="AA135" s="305"/>
      <c r="AB135" s="305"/>
      <c r="AC135" s="305"/>
      <c r="AD135" s="305"/>
      <c r="AE135" s="305"/>
      <c r="AF135" s="305"/>
      <c r="AG135" s="306"/>
    </row>
    <row r="136" spans="3:33" s="51" customFormat="1" ht="18" thickBot="1">
      <c r="C136" s="327"/>
      <c r="D136" s="328"/>
      <c r="E136" s="328"/>
      <c r="F136" s="328"/>
      <c r="G136" s="328"/>
      <c r="H136" s="328"/>
      <c r="I136" s="328"/>
      <c r="J136" s="329"/>
      <c r="K136" s="330"/>
      <c r="L136" s="331"/>
      <c r="M136" s="332"/>
      <c r="N136" s="333"/>
      <c r="O136" s="331"/>
      <c r="P136" s="331"/>
      <c r="Q136" s="331"/>
      <c r="R136" s="335">
        <f t="shared" si="3"/>
        <v>0</v>
      </c>
      <c r="S136" s="337">
        <f t="shared" si="4"/>
        <v>0</v>
      </c>
      <c r="T136" s="50"/>
      <c r="U136" s="74"/>
      <c r="V136" s="72"/>
      <c r="W136" s="304"/>
      <c r="X136" s="305"/>
      <c r="Y136" s="305"/>
      <c r="Z136" s="305"/>
      <c r="AA136" s="305"/>
      <c r="AB136" s="305"/>
      <c r="AC136" s="305"/>
      <c r="AD136" s="305"/>
      <c r="AE136" s="305"/>
      <c r="AF136" s="305"/>
      <c r="AG136" s="306"/>
    </row>
    <row r="137" spans="3:33" s="51" customFormat="1" ht="18" thickBot="1">
      <c r="C137" s="327"/>
      <c r="D137" s="328"/>
      <c r="E137" s="328"/>
      <c r="F137" s="328"/>
      <c r="G137" s="328"/>
      <c r="H137" s="328"/>
      <c r="I137" s="328"/>
      <c r="J137" s="329"/>
      <c r="K137" s="330"/>
      <c r="L137" s="331"/>
      <c r="M137" s="332"/>
      <c r="N137" s="333"/>
      <c r="O137" s="331"/>
      <c r="P137" s="331"/>
      <c r="Q137" s="331"/>
      <c r="R137" s="335">
        <f t="shared" si="3"/>
        <v>0</v>
      </c>
      <c r="S137" s="337">
        <f t="shared" si="4"/>
        <v>0</v>
      </c>
      <c r="T137" s="50"/>
      <c r="U137" s="74"/>
      <c r="V137" s="72"/>
      <c r="W137" s="304"/>
      <c r="X137" s="305"/>
      <c r="Y137" s="305"/>
      <c r="Z137" s="305"/>
      <c r="AA137" s="305"/>
      <c r="AB137" s="305"/>
      <c r="AC137" s="305"/>
      <c r="AD137" s="305"/>
      <c r="AE137" s="305"/>
      <c r="AF137" s="305"/>
      <c r="AG137" s="306"/>
    </row>
    <row r="138" spans="3:33" s="51" customFormat="1" ht="18" thickBot="1">
      <c r="C138" s="327"/>
      <c r="D138" s="328"/>
      <c r="E138" s="328"/>
      <c r="F138" s="328"/>
      <c r="G138" s="328"/>
      <c r="H138" s="328"/>
      <c r="I138" s="328"/>
      <c r="J138" s="329"/>
      <c r="K138" s="330"/>
      <c r="L138" s="331"/>
      <c r="M138" s="332"/>
      <c r="N138" s="333"/>
      <c r="O138" s="331"/>
      <c r="P138" s="331"/>
      <c r="Q138" s="331"/>
      <c r="R138" s="335">
        <f t="shared" si="3"/>
        <v>0</v>
      </c>
      <c r="S138" s="337">
        <f t="shared" si="4"/>
        <v>0</v>
      </c>
      <c r="T138" s="50"/>
      <c r="U138" s="74"/>
      <c r="V138" s="72"/>
      <c r="W138" s="304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6"/>
    </row>
    <row r="139" spans="3:33" s="51" customFormat="1" ht="18" thickBot="1">
      <c r="C139" s="327"/>
      <c r="D139" s="328"/>
      <c r="E139" s="328"/>
      <c r="F139" s="328"/>
      <c r="G139" s="328"/>
      <c r="H139" s="328"/>
      <c r="I139" s="328"/>
      <c r="J139" s="329"/>
      <c r="K139" s="330"/>
      <c r="L139" s="331"/>
      <c r="M139" s="332"/>
      <c r="N139" s="333"/>
      <c r="O139" s="331"/>
      <c r="P139" s="331"/>
      <c r="Q139" s="331"/>
      <c r="R139" s="335">
        <f t="shared" si="3"/>
        <v>0</v>
      </c>
      <c r="S139" s="337">
        <f t="shared" si="4"/>
        <v>0</v>
      </c>
      <c r="T139" s="50"/>
      <c r="U139" s="74"/>
      <c r="V139" s="72"/>
      <c r="W139" s="304"/>
      <c r="X139" s="305"/>
      <c r="Y139" s="305"/>
      <c r="Z139" s="305"/>
      <c r="AA139" s="305"/>
      <c r="AB139" s="305"/>
      <c r="AC139" s="305"/>
      <c r="AD139" s="305"/>
      <c r="AE139" s="305"/>
      <c r="AF139" s="305"/>
      <c r="AG139" s="306"/>
    </row>
    <row r="140" spans="3:33" s="51" customFormat="1" ht="18" thickBot="1">
      <c r="C140" s="327"/>
      <c r="D140" s="328"/>
      <c r="E140" s="328"/>
      <c r="F140" s="328"/>
      <c r="G140" s="328"/>
      <c r="H140" s="328"/>
      <c r="I140" s="328"/>
      <c r="J140" s="329"/>
      <c r="K140" s="330"/>
      <c r="L140" s="331"/>
      <c r="M140" s="332"/>
      <c r="N140" s="333"/>
      <c r="O140" s="331"/>
      <c r="P140" s="331"/>
      <c r="Q140" s="331"/>
      <c r="R140" s="335">
        <f t="shared" si="3"/>
        <v>0</v>
      </c>
      <c r="S140" s="337">
        <f t="shared" si="4"/>
        <v>0</v>
      </c>
      <c r="T140" s="50"/>
      <c r="U140" s="74"/>
      <c r="V140" s="72"/>
      <c r="W140" s="304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6"/>
    </row>
    <row r="141" spans="3:33" s="51" customFormat="1" ht="18" thickBot="1">
      <c r="C141" s="327"/>
      <c r="D141" s="328"/>
      <c r="E141" s="328"/>
      <c r="F141" s="328"/>
      <c r="G141" s="328"/>
      <c r="H141" s="328"/>
      <c r="I141" s="328"/>
      <c r="J141" s="329"/>
      <c r="K141" s="330"/>
      <c r="L141" s="331"/>
      <c r="M141" s="332"/>
      <c r="N141" s="333"/>
      <c r="O141" s="331"/>
      <c r="P141" s="331"/>
      <c r="Q141" s="331"/>
      <c r="R141" s="335">
        <f t="shared" si="3"/>
        <v>0</v>
      </c>
      <c r="S141" s="337">
        <f t="shared" si="4"/>
        <v>0</v>
      </c>
      <c r="T141" s="50"/>
      <c r="U141" s="74"/>
      <c r="V141" s="72"/>
      <c r="W141" s="304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6"/>
    </row>
    <row r="142" spans="3:33" s="51" customFormat="1" ht="18" thickBot="1">
      <c r="C142" s="327"/>
      <c r="D142" s="328"/>
      <c r="E142" s="328"/>
      <c r="F142" s="328"/>
      <c r="G142" s="328"/>
      <c r="H142" s="328"/>
      <c r="I142" s="328"/>
      <c r="J142" s="329"/>
      <c r="K142" s="330"/>
      <c r="L142" s="331"/>
      <c r="M142" s="332"/>
      <c r="N142" s="333"/>
      <c r="O142" s="331"/>
      <c r="P142" s="331"/>
      <c r="Q142" s="331"/>
      <c r="R142" s="335">
        <f t="shared" si="3"/>
        <v>0</v>
      </c>
      <c r="S142" s="337">
        <f t="shared" si="4"/>
        <v>0</v>
      </c>
      <c r="T142" s="50"/>
      <c r="U142" s="74"/>
      <c r="V142" s="72"/>
      <c r="W142" s="304"/>
      <c r="X142" s="305"/>
      <c r="Y142" s="305"/>
      <c r="Z142" s="305"/>
      <c r="AA142" s="305"/>
      <c r="AB142" s="305"/>
      <c r="AC142" s="305"/>
      <c r="AD142" s="305"/>
      <c r="AE142" s="305"/>
      <c r="AF142" s="305"/>
      <c r="AG142" s="306"/>
    </row>
    <row r="143" spans="3:33" s="51" customFormat="1" ht="18" thickBot="1">
      <c r="C143" s="327"/>
      <c r="D143" s="328"/>
      <c r="E143" s="328"/>
      <c r="F143" s="328"/>
      <c r="G143" s="328"/>
      <c r="H143" s="328"/>
      <c r="I143" s="328"/>
      <c r="J143" s="329"/>
      <c r="K143" s="330"/>
      <c r="L143" s="331"/>
      <c r="M143" s="332"/>
      <c r="N143" s="333"/>
      <c r="O143" s="331"/>
      <c r="P143" s="331"/>
      <c r="Q143" s="331"/>
      <c r="R143" s="335">
        <f t="shared" si="3"/>
        <v>0</v>
      </c>
      <c r="S143" s="337">
        <f t="shared" si="4"/>
        <v>0</v>
      </c>
      <c r="T143" s="50"/>
      <c r="U143" s="74"/>
      <c r="V143" s="72"/>
      <c r="W143" s="304"/>
      <c r="X143" s="305"/>
      <c r="Y143" s="305"/>
      <c r="Z143" s="305"/>
      <c r="AA143" s="305"/>
      <c r="AB143" s="305"/>
      <c r="AC143" s="305"/>
      <c r="AD143" s="305"/>
      <c r="AE143" s="305"/>
      <c r="AF143" s="305"/>
      <c r="AG143" s="306"/>
    </row>
    <row r="144" spans="3:33" s="51" customFormat="1" ht="18" thickBot="1">
      <c r="C144" s="327"/>
      <c r="D144" s="328"/>
      <c r="E144" s="328"/>
      <c r="F144" s="328"/>
      <c r="G144" s="328"/>
      <c r="H144" s="328"/>
      <c r="I144" s="328"/>
      <c r="J144" s="329"/>
      <c r="K144" s="330"/>
      <c r="L144" s="331"/>
      <c r="M144" s="332"/>
      <c r="N144" s="333"/>
      <c r="O144" s="331"/>
      <c r="P144" s="331"/>
      <c r="Q144" s="331"/>
      <c r="R144" s="335">
        <f t="shared" si="3"/>
        <v>0</v>
      </c>
      <c r="S144" s="337">
        <f t="shared" si="4"/>
        <v>0</v>
      </c>
      <c r="T144" s="50"/>
      <c r="U144" s="74"/>
      <c r="V144" s="72"/>
      <c r="W144" s="304"/>
      <c r="X144" s="305"/>
      <c r="Y144" s="305"/>
      <c r="Z144" s="305"/>
      <c r="AA144" s="305"/>
      <c r="AB144" s="305"/>
      <c r="AC144" s="305"/>
      <c r="AD144" s="305"/>
      <c r="AE144" s="305"/>
      <c r="AF144" s="305"/>
      <c r="AG144" s="306"/>
    </row>
    <row r="145" spans="3:33" s="51" customFormat="1" ht="18" thickBot="1">
      <c r="C145" s="327"/>
      <c r="D145" s="328"/>
      <c r="E145" s="328"/>
      <c r="F145" s="328"/>
      <c r="G145" s="328"/>
      <c r="H145" s="328"/>
      <c r="I145" s="328"/>
      <c r="J145" s="329"/>
      <c r="K145" s="330"/>
      <c r="L145" s="331"/>
      <c r="M145" s="332"/>
      <c r="N145" s="333"/>
      <c r="O145" s="331"/>
      <c r="P145" s="331"/>
      <c r="Q145" s="331"/>
      <c r="R145" s="335">
        <f t="shared" si="3"/>
        <v>0</v>
      </c>
      <c r="S145" s="337">
        <f t="shared" si="4"/>
        <v>0</v>
      </c>
      <c r="T145" s="50"/>
      <c r="U145" s="74"/>
      <c r="V145" s="72"/>
      <c r="W145" s="304"/>
      <c r="X145" s="305"/>
      <c r="Y145" s="305"/>
      <c r="Z145" s="305"/>
      <c r="AA145" s="305"/>
      <c r="AB145" s="305"/>
      <c r="AC145" s="305"/>
      <c r="AD145" s="305"/>
      <c r="AE145" s="305"/>
      <c r="AF145" s="305"/>
      <c r="AG145" s="306"/>
    </row>
    <row r="146" spans="3:33" s="51" customFormat="1" ht="18" thickBot="1">
      <c r="C146" s="327"/>
      <c r="D146" s="328"/>
      <c r="E146" s="328"/>
      <c r="F146" s="328"/>
      <c r="G146" s="328"/>
      <c r="H146" s="328"/>
      <c r="I146" s="328"/>
      <c r="J146" s="329"/>
      <c r="K146" s="330"/>
      <c r="L146" s="331"/>
      <c r="M146" s="332"/>
      <c r="N146" s="333"/>
      <c r="O146" s="331"/>
      <c r="P146" s="331"/>
      <c r="Q146" s="331"/>
      <c r="R146" s="335">
        <f t="shared" si="3"/>
        <v>0</v>
      </c>
      <c r="S146" s="337">
        <f t="shared" si="4"/>
        <v>0</v>
      </c>
      <c r="T146" s="50"/>
      <c r="U146" s="74"/>
      <c r="V146" s="72"/>
      <c r="W146" s="304"/>
      <c r="X146" s="305"/>
      <c r="Y146" s="305"/>
      <c r="Z146" s="305"/>
      <c r="AA146" s="305"/>
      <c r="AB146" s="305"/>
      <c r="AC146" s="305"/>
      <c r="AD146" s="305"/>
      <c r="AE146" s="305"/>
      <c r="AF146" s="305"/>
      <c r="AG146" s="306"/>
    </row>
    <row r="147" spans="3:33" s="51" customFormat="1" ht="18" thickBot="1">
      <c r="C147" s="327"/>
      <c r="D147" s="328"/>
      <c r="E147" s="328"/>
      <c r="F147" s="328"/>
      <c r="G147" s="328"/>
      <c r="H147" s="328"/>
      <c r="I147" s="328"/>
      <c r="J147" s="329"/>
      <c r="K147" s="330"/>
      <c r="L147" s="331"/>
      <c r="M147" s="332"/>
      <c r="N147" s="333"/>
      <c r="O147" s="331"/>
      <c r="P147" s="331"/>
      <c r="Q147" s="331"/>
      <c r="R147" s="335">
        <f t="shared" si="3"/>
        <v>0</v>
      </c>
      <c r="S147" s="337">
        <f t="shared" si="4"/>
        <v>0</v>
      </c>
      <c r="T147" s="50"/>
      <c r="U147" s="74"/>
      <c r="V147" s="72"/>
      <c r="W147" s="304"/>
      <c r="X147" s="305"/>
      <c r="Y147" s="305"/>
      <c r="Z147" s="305"/>
      <c r="AA147" s="305"/>
      <c r="AB147" s="305"/>
      <c r="AC147" s="305"/>
      <c r="AD147" s="305"/>
      <c r="AE147" s="305"/>
      <c r="AF147" s="305"/>
      <c r="AG147" s="306"/>
    </row>
    <row r="148" spans="3:33" s="51" customFormat="1" ht="18" thickBot="1">
      <c r="C148" s="327"/>
      <c r="D148" s="328"/>
      <c r="E148" s="328"/>
      <c r="F148" s="328"/>
      <c r="G148" s="328"/>
      <c r="H148" s="328"/>
      <c r="I148" s="328"/>
      <c r="J148" s="329"/>
      <c r="K148" s="330"/>
      <c r="L148" s="331"/>
      <c r="M148" s="332"/>
      <c r="N148" s="333"/>
      <c r="O148" s="331"/>
      <c r="P148" s="331"/>
      <c r="Q148" s="331"/>
      <c r="R148" s="335">
        <f t="shared" si="3"/>
        <v>0</v>
      </c>
      <c r="S148" s="337">
        <f t="shared" si="4"/>
        <v>0</v>
      </c>
      <c r="T148" s="50"/>
      <c r="U148" s="74"/>
      <c r="V148" s="72"/>
      <c r="W148" s="304"/>
      <c r="X148" s="305"/>
      <c r="Y148" s="305"/>
      <c r="Z148" s="305"/>
      <c r="AA148" s="305"/>
      <c r="AB148" s="305"/>
      <c r="AC148" s="305"/>
      <c r="AD148" s="305"/>
      <c r="AE148" s="305"/>
      <c r="AF148" s="305"/>
      <c r="AG148" s="306"/>
    </row>
    <row r="149" spans="3:33" s="51" customFormat="1" ht="18" thickBot="1">
      <c r="C149" s="327"/>
      <c r="D149" s="328"/>
      <c r="E149" s="328"/>
      <c r="F149" s="328"/>
      <c r="G149" s="328"/>
      <c r="H149" s="328"/>
      <c r="I149" s="328"/>
      <c r="J149" s="329"/>
      <c r="K149" s="330"/>
      <c r="L149" s="331"/>
      <c r="M149" s="332"/>
      <c r="N149" s="333"/>
      <c r="O149" s="331"/>
      <c r="P149" s="331"/>
      <c r="Q149" s="331"/>
      <c r="R149" s="335">
        <f t="shared" si="3"/>
        <v>0</v>
      </c>
      <c r="S149" s="337">
        <f t="shared" si="4"/>
        <v>0</v>
      </c>
      <c r="T149" s="50"/>
      <c r="U149" s="74"/>
      <c r="V149" s="72"/>
      <c r="W149" s="304"/>
      <c r="X149" s="305"/>
      <c r="Y149" s="305"/>
      <c r="Z149" s="305"/>
      <c r="AA149" s="305"/>
      <c r="AB149" s="305"/>
      <c r="AC149" s="305"/>
      <c r="AD149" s="305"/>
      <c r="AE149" s="305"/>
      <c r="AF149" s="305"/>
      <c r="AG149" s="306"/>
    </row>
    <row r="150" spans="3:33" s="51" customFormat="1" ht="18" thickBot="1">
      <c r="C150" s="327"/>
      <c r="D150" s="328"/>
      <c r="E150" s="328"/>
      <c r="F150" s="328"/>
      <c r="G150" s="328"/>
      <c r="H150" s="328"/>
      <c r="I150" s="328"/>
      <c r="J150" s="329"/>
      <c r="K150" s="330"/>
      <c r="L150" s="331"/>
      <c r="M150" s="332"/>
      <c r="N150" s="333"/>
      <c r="O150" s="331"/>
      <c r="P150" s="331"/>
      <c r="Q150" s="331"/>
      <c r="R150" s="335">
        <f t="shared" si="3"/>
        <v>0</v>
      </c>
      <c r="S150" s="337">
        <f t="shared" si="4"/>
        <v>0</v>
      </c>
      <c r="T150" s="50"/>
      <c r="U150" s="74"/>
      <c r="V150" s="72"/>
      <c r="W150" s="304"/>
      <c r="X150" s="305"/>
      <c r="Y150" s="305"/>
      <c r="Z150" s="305"/>
      <c r="AA150" s="305"/>
      <c r="AB150" s="305"/>
      <c r="AC150" s="305"/>
      <c r="AD150" s="305"/>
      <c r="AE150" s="305"/>
      <c r="AF150" s="305"/>
      <c r="AG150" s="306"/>
    </row>
    <row r="151" spans="3:33" s="51" customFormat="1" ht="18" thickBot="1">
      <c r="C151" s="327"/>
      <c r="D151" s="328"/>
      <c r="E151" s="328"/>
      <c r="F151" s="328"/>
      <c r="G151" s="328"/>
      <c r="H151" s="328"/>
      <c r="I151" s="328"/>
      <c r="J151" s="329"/>
      <c r="K151" s="330"/>
      <c r="L151" s="331"/>
      <c r="M151" s="332"/>
      <c r="N151" s="333"/>
      <c r="O151" s="331"/>
      <c r="P151" s="331"/>
      <c r="Q151" s="331"/>
      <c r="R151" s="335">
        <f t="shared" si="3"/>
        <v>0</v>
      </c>
      <c r="S151" s="337">
        <f t="shared" si="4"/>
        <v>0</v>
      </c>
      <c r="T151" s="50"/>
      <c r="U151" s="74"/>
      <c r="V151" s="72"/>
      <c r="W151" s="304"/>
      <c r="X151" s="305"/>
      <c r="Y151" s="305"/>
      <c r="Z151" s="305"/>
      <c r="AA151" s="305"/>
      <c r="AB151" s="305"/>
      <c r="AC151" s="305"/>
      <c r="AD151" s="305"/>
      <c r="AE151" s="305"/>
      <c r="AF151" s="305"/>
      <c r="AG151" s="306"/>
    </row>
    <row r="152" spans="3:33" s="51" customFormat="1" ht="18" thickBot="1">
      <c r="C152" s="327"/>
      <c r="D152" s="328"/>
      <c r="E152" s="328"/>
      <c r="F152" s="328"/>
      <c r="G152" s="328"/>
      <c r="H152" s="328"/>
      <c r="I152" s="328"/>
      <c r="J152" s="329"/>
      <c r="K152" s="330"/>
      <c r="L152" s="331"/>
      <c r="M152" s="332"/>
      <c r="N152" s="333"/>
      <c r="O152" s="331"/>
      <c r="P152" s="331"/>
      <c r="Q152" s="331"/>
      <c r="R152" s="335">
        <f t="shared" si="3"/>
        <v>0</v>
      </c>
      <c r="S152" s="337">
        <f t="shared" si="4"/>
        <v>0</v>
      </c>
      <c r="T152" s="50"/>
      <c r="U152" s="74"/>
      <c r="V152" s="72"/>
      <c r="W152" s="304"/>
      <c r="X152" s="305"/>
      <c r="Y152" s="305"/>
      <c r="Z152" s="305"/>
      <c r="AA152" s="305"/>
      <c r="AB152" s="305"/>
      <c r="AC152" s="305"/>
      <c r="AD152" s="305"/>
      <c r="AE152" s="305"/>
      <c r="AF152" s="305"/>
      <c r="AG152" s="306"/>
    </row>
    <row r="153" spans="3:33" s="51" customFormat="1" ht="18" thickBot="1">
      <c r="C153" s="327"/>
      <c r="D153" s="328"/>
      <c r="E153" s="328"/>
      <c r="F153" s="328"/>
      <c r="G153" s="328"/>
      <c r="H153" s="328"/>
      <c r="I153" s="328"/>
      <c r="J153" s="329"/>
      <c r="K153" s="330"/>
      <c r="L153" s="331"/>
      <c r="M153" s="332"/>
      <c r="N153" s="333"/>
      <c r="O153" s="331"/>
      <c r="P153" s="331"/>
      <c r="Q153" s="331"/>
      <c r="R153" s="335">
        <f t="shared" si="3"/>
        <v>0</v>
      </c>
      <c r="S153" s="337">
        <f t="shared" si="4"/>
        <v>0</v>
      </c>
      <c r="T153" s="50"/>
      <c r="U153" s="74"/>
      <c r="V153" s="72"/>
      <c r="W153" s="304"/>
      <c r="X153" s="305"/>
      <c r="Y153" s="305"/>
      <c r="Z153" s="305"/>
      <c r="AA153" s="305"/>
      <c r="AB153" s="305"/>
      <c r="AC153" s="305"/>
      <c r="AD153" s="305"/>
      <c r="AE153" s="305"/>
      <c r="AF153" s="305"/>
      <c r="AG153" s="306"/>
    </row>
    <row r="154" spans="3:33" s="51" customFormat="1" ht="18" thickBot="1">
      <c r="C154" s="327"/>
      <c r="D154" s="328"/>
      <c r="E154" s="328"/>
      <c r="F154" s="328"/>
      <c r="G154" s="328"/>
      <c r="H154" s="328"/>
      <c r="I154" s="328"/>
      <c r="J154" s="329"/>
      <c r="K154" s="330"/>
      <c r="L154" s="331"/>
      <c r="M154" s="332"/>
      <c r="N154" s="333"/>
      <c r="O154" s="331"/>
      <c r="P154" s="331"/>
      <c r="Q154" s="331"/>
      <c r="R154" s="335">
        <f t="shared" si="3"/>
        <v>0</v>
      </c>
      <c r="S154" s="337">
        <f t="shared" si="4"/>
        <v>0</v>
      </c>
      <c r="T154" s="50"/>
      <c r="U154" s="74"/>
      <c r="V154" s="72"/>
      <c r="W154" s="304"/>
      <c r="X154" s="305"/>
      <c r="Y154" s="305"/>
      <c r="Z154" s="305"/>
      <c r="AA154" s="305"/>
      <c r="AB154" s="305"/>
      <c r="AC154" s="305"/>
      <c r="AD154" s="305"/>
      <c r="AE154" s="305"/>
      <c r="AF154" s="305"/>
      <c r="AG154" s="306"/>
    </row>
    <row r="155" spans="3:33" s="51" customFormat="1" ht="18" thickBot="1">
      <c r="C155" s="327"/>
      <c r="D155" s="328"/>
      <c r="E155" s="328"/>
      <c r="F155" s="328"/>
      <c r="G155" s="328"/>
      <c r="H155" s="328"/>
      <c r="I155" s="328"/>
      <c r="J155" s="329"/>
      <c r="K155" s="330"/>
      <c r="L155" s="331"/>
      <c r="M155" s="332"/>
      <c r="N155" s="333"/>
      <c r="O155" s="331"/>
      <c r="P155" s="331"/>
      <c r="Q155" s="331"/>
      <c r="R155" s="335">
        <f t="shared" si="3"/>
        <v>0</v>
      </c>
      <c r="S155" s="337">
        <f t="shared" si="4"/>
        <v>0</v>
      </c>
      <c r="T155" s="50"/>
      <c r="U155" s="74"/>
      <c r="V155" s="72"/>
      <c r="W155" s="304"/>
      <c r="X155" s="305"/>
      <c r="Y155" s="305"/>
      <c r="Z155" s="305"/>
      <c r="AA155" s="305"/>
      <c r="AB155" s="305"/>
      <c r="AC155" s="305"/>
      <c r="AD155" s="305"/>
      <c r="AE155" s="305"/>
      <c r="AF155" s="305"/>
      <c r="AG155" s="306"/>
    </row>
    <row r="156" spans="3:33" s="51" customFormat="1" ht="18" thickBot="1">
      <c r="C156" s="327"/>
      <c r="D156" s="328"/>
      <c r="E156" s="328"/>
      <c r="F156" s="328"/>
      <c r="G156" s="328"/>
      <c r="H156" s="328"/>
      <c r="I156" s="328"/>
      <c r="J156" s="329"/>
      <c r="K156" s="330"/>
      <c r="L156" s="331"/>
      <c r="M156" s="332"/>
      <c r="N156" s="333"/>
      <c r="O156" s="331"/>
      <c r="P156" s="331"/>
      <c r="Q156" s="331"/>
      <c r="R156" s="335">
        <f t="shared" si="3"/>
        <v>0</v>
      </c>
      <c r="S156" s="337">
        <f t="shared" si="4"/>
        <v>0</v>
      </c>
      <c r="T156" s="50"/>
      <c r="U156" s="74"/>
      <c r="V156" s="72"/>
      <c r="W156" s="304"/>
      <c r="X156" s="305"/>
      <c r="Y156" s="305"/>
      <c r="Z156" s="305"/>
      <c r="AA156" s="305"/>
      <c r="AB156" s="305"/>
      <c r="AC156" s="305"/>
      <c r="AD156" s="305"/>
      <c r="AE156" s="305"/>
      <c r="AF156" s="305"/>
      <c r="AG156" s="306"/>
    </row>
    <row r="157" spans="3:33" s="51" customFormat="1" ht="18" thickBot="1">
      <c r="C157" s="327"/>
      <c r="D157" s="328"/>
      <c r="E157" s="328"/>
      <c r="F157" s="328"/>
      <c r="G157" s="328"/>
      <c r="H157" s="328"/>
      <c r="I157" s="328"/>
      <c r="J157" s="329"/>
      <c r="K157" s="330"/>
      <c r="L157" s="331"/>
      <c r="M157" s="332"/>
      <c r="N157" s="333"/>
      <c r="O157" s="331"/>
      <c r="P157" s="331"/>
      <c r="Q157" s="331"/>
      <c r="R157" s="335">
        <f t="shared" si="3"/>
        <v>0</v>
      </c>
      <c r="S157" s="337">
        <f t="shared" si="4"/>
        <v>0</v>
      </c>
      <c r="T157" s="50"/>
      <c r="U157" s="74"/>
      <c r="V157" s="72"/>
      <c r="W157" s="304"/>
      <c r="X157" s="305"/>
      <c r="Y157" s="305"/>
      <c r="Z157" s="305"/>
      <c r="AA157" s="305"/>
      <c r="AB157" s="305"/>
      <c r="AC157" s="305"/>
      <c r="AD157" s="305"/>
      <c r="AE157" s="305"/>
      <c r="AF157" s="305"/>
      <c r="AG157" s="306"/>
    </row>
    <row r="158" spans="3:33" s="51" customFormat="1" ht="18" thickBot="1">
      <c r="C158" s="327"/>
      <c r="D158" s="328"/>
      <c r="E158" s="328"/>
      <c r="F158" s="328"/>
      <c r="G158" s="328"/>
      <c r="H158" s="328"/>
      <c r="I158" s="328"/>
      <c r="J158" s="329"/>
      <c r="K158" s="330"/>
      <c r="L158" s="331"/>
      <c r="M158" s="332"/>
      <c r="N158" s="333"/>
      <c r="O158" s="331"/>
      <c r="P158" s="331"/>
      <c r="Q158" s="331"/>
      <c r="R158" s="335">
        <f t="shared" si="3"/>
        <v>0</v>
      </c>
      <c r="S158" s="337">
        <f t="shared" si="4"/>
        <v>0</v>
      </c>
      <c r="T158" s="50"/>
      <c r="U158" s="74"/>
      <c r="V158" s="72"/>
      <c r="W158" s="304"/>
      <c r="X158" s="305"/>
      <c r="Y158" s="305"/>
      <c r="Z158" s="305"/>
      <c r="AA158" s="305"/>
      <c r="AB158" s="305"/>
      <c r="AC158" s="305"/>
      <c r="AD158" s="305"/>
      <c r="AE158" s="305"/>
      <c r="AF158" s="305"/>
      <c r="AG158" s="306"/>
    </row>
    <row r="159" spans="3:33" s="51" customFormat="1" ht="18" thickBot="1">
      <c r="C159" s="327"/>
      <c r="D159" s="328"/>
      <c r="E159" s="328"/>
      <c r="F159" s="328"/>
      <c r="G159" s="328"/>
      <c r="H159" s="328"/>
      <c r="I159" s="328"/>
      <c r="J159" s="329"/>
      <c r="K159" s="330"/>
      <c r="L159" s="331"/>
      <c r="M159" s="332"/>
      <c r="N159" s="333"/>
      <c r="O159" s="331"/>
      <c r="P159" s="331"/>
      <c r="Q159" s="331"/>
      <c r="R159" s="335">
        <f t="shared" si="3"/>
        <v>0</v>
      </c>
      <c r="S159" s="337">
        <f t="shared" si="4"/>
        <v>0</v>
      </c>
      <c r="T159" s="50"/>
      <c r="U159" s="74"/>
      <c r="V159" s="72"/>
      <c r="W159" s="304"/>
      <c r="X159" s="305"/>
      <c r="Y159" s="305"/>
      <c r="Z159" s="305"/>
      <c r="AA159" s="305"/>
      <c r="AB159" s="305"/>
      <c r="AC159" s="305"/>
      <c r="AD159" s="305"/>
      <c r="AE159" s="305"/>
      <c r="AF159" s="305"/>
      <c r="AG159" s="306"/>
    </row>
    <row r="160" spans="3:33" s="51" customFormat="1" ht="18" thickBot="1">
      <c r="C160" s="327"/>
      <c r="D160" s="328"/>
      <c r="E160" s="328"/>
      <c r="F160" s="328"/>
      <c r="G160" s="328"/>
      <c r="H160" s="328"/>
      <c r="I160" s="328"/>
      <c r="J160" s="329"/>
      <c r="K160" s="330"/>
      <c r="L160" s="331"/>
      <c r="M160" s="332"/>
      <c r="N160" s="333"/>
      <c r="O160" s="331"/>
      <c r="P160" s="331"/>
      <c r="Q160" s="331"/>
      <c r="R160" s="335">
        <f t="shared" si="3"/>
        <v>0</v>
      </c>
      <c r="S160" s="337">
        <f t="shared" si="4"/>
        <v>0</v>
      </c>
      <c r="T160" s="50"/>
      <c r="U160" s="74"/>
      <c r="V160" s="72"/>
      <c r="W160" s="304"/>
      <c r="X160" s="305"/>
      <c r="Y160" s="305"/>
      <c r="Z160" s="305"/>
      <c r="AA160" s="305"/>
      <c r="AB160" s="305"/>
      <c r="AC160" s="305"/>
      <c r="AD160" s="305"/>
      <c r="AE160" s="305"/>
      <c r="AF160" s="305"/>
      <c r="AG160" s="306"/>
    </row>
    <row r="161" spans="3:33" s="51" customFormat="1" ht="18" thickBot="1">
      <c r="C161" s="327"/>
      <c r="D161" s="328"/>
      <c r="E161" s="328"/>
      <c r="F161" s="328"/>
      <c r="G161" s="328"/>
      <c r="H161" s="328"/>
      <c r="I161" s="328"/>
      <c r="J161" s="329"/>
      <c r="K161" s="330"/>
      <c r="L161" s="331"/>
      <c r="M161" s="332"/>
      <c r="N161" s="333"/>
      <c r="O161" s="331"/>
      <c r="P161" s="331"/>
      <c r="Q161" s="331"/>
      <c r="R161" s="335">
        <f t="shared" si="3"/>
        <v>0</v>
      </c>
      <c r="S161" s="337">
        <f t="shared" si="4"/>
        <v>0</v>
      </c>
      <c r="T161" s="50"/>
      <c r="U161" s="74"/>
      <c r="V161" s="72"/>
      <c r="W161" s="304"/>
      <c r="X161" s="305"/>
      <c r="Y161" s="305"/>
      <c r="Z161" s="305"/>
      <c r="AA161" s="305"/>
      <c r="AB161" s="305"/>
      <c r="AC161" s="305"/>
      <c r="AD161" s="305"/>
      <c r="AE161" s="305"/>
      <c r="AF161" s="305"/>
      <c r="AG161" s="306"/>
    </row>
    <row r="162" spans="3:33" s="51" customFormat="1" ht="18" thickBot="1">
      <c r="C162" s="327"/>
      <c r="D162" s="328"/>
      <c r="E162" s="328"/>
      <c r="F162" s="328"/>
      <c r="G162" s="328"/>
      <c r="H162" s="328"/>
      <c r="I162" s="328"/>
      <c r="J162" s="329"/>
      <c r="K162" s="330"/>
      <c r="L162" s="331"/>
      <c r="M162" s="332"/>
      <c r="N162" s="333"/>
      <c r="O162" s="331"/>
      <c r="P162" s="331"/>
      <c r="Q162" s="331"/>
      <c r="R162" s="335">
        <f t="shared" si="3"/>
        <v>0</v>
      </c>
      <c r="S162" s="337">
        <f t="shared" si="4"/>
        <v>0</v>
      </c>
      <c r="T162" s="50"/>
      <c r="U162" s="74"/>
      <c r="V162" s="72"/>
      <c r="W162" s="304"/>
      <c r="X162" s="305"/>
      <c r="Y162" s="305"/>
      <c r="Z162" s="305"/>
      <c r="AA162" s="305"/>
      <c r="AB162" s="305"/>
      <c r="AC162" s="305"/>
      <c r="AD162" s="305"/>
      <c r="AE162" s="305"/>
      <c r="AF162" s="305"/>
      <c r="AG162" s="306"/>
    </row>
    <row r="163" spans="3:33" s="51" customFormat="1" ht="18" thickBot="1">
      <c r="C163" s="327"/>
      <c r="D163" s="328"/>
      <c r="E163" s="328"/>
      <c r="F163" s="328"/>
      <c r="G163" s="328"/>
      <c r="H163" s="328"/>
      <c r="I163" s="328"/>
      <c r="J163" s="329"/>
      <c r="K163" s="330"/>
      <c r="L163" s="331"/>
      <c r="M163" s="332"/>
      <c r="N163" s="333"/>
      <c r="O163" s="331"/>
      <c r="P163" s="331"/>
      <c r="Q163" s="331"/>
      <c r="R163" s="335">
        <f t="shared" si="3"/>
        <v>0</v>
      </c>
      <c r="S163" s="337">
        <f t="shared" si="4"/>
        <v>0</v>
      </c>
      <c r="T163" s="50"/>
      <c r="U163" s="74"/>
      <c r="V163" s="72"/>
      <c r="W163" s="304"/>
      <c r="X163" s="305"/>
      <c r="Y163" s="305"/>
      <c r="Z163" s="305"/>
      <c r="AA163" s="305"/>
      <c r="AB163" s="305"/>
      <c r="AC163" s="305"/>
      <c r="AD163" s="305"/>
      <c r="AE163" s="305"/>
      <c r="AF163" s="305"/>
      <c r="AG163" s="306"/>
    </row>
    <row r="164" spans="3:33" s="51" customFormat="1" ht="18" thickBot="1">
      <c r="C164" s="327"/>
      <c r="D164" s="328"/>
      <c r="E164" s="328"/>
      <c r="F164" s="328"/>
      <c r="G164" s="328"/>
      <c r="H164" s="328"/>
      <c r="I164" s="328"/>
      <c r="J164" s="329"/>
      <c r="K164" s="330"/>
      <c r="L164" s="331"/>
      <c r="M164" s="332"/>
      <c r="N164" s="333"/>
      <c r="O164" s="331"/>
      <c r="P164" s="331"/>
      <c r="Q164" s="331"/>
      <c r="R164" s="335">
        <f t="shared" si="3"/>
        <v>0</v>
      </c>
      <c r="S164" s="337">
        <f t="shared" si="4"/>
        <v>0</v>
      </c>
      <c r="T164" s="50"/>
      <c r="U164" s="74"/>
      <c r="V164" s="72"/>
      <c r="W164" s="304"/>
      <c r="X164" s="305"/>
      <c r="Y164" s="305"/>
      <c r="Z164" s="305"/>
      <c r="AA164" s="305"/>
      <c r="AB164" s="305"/>
      <c r="AC164" s="305"/>
      <c r="AD164" s="305"/>
      <c r="AE164" s="305"/>
      <c r="AF164" s="305"/>
      <c r="AG164" s="306"/>
    </row>
    <row r="165" spans="3:33" s="51" customFormat="1" ht="18" thickBot="1">
      <c r="C165" s="327"/>
      <c r="D165" s="328"/>
      <c r="E165" s="328"/>
      <c r="F165" s="328"/>
      <c r="G165" s="328"/>
      <c r="H165" s="328"/>
      <c r="I165" s="328"/>
      <c r="J165" s="329"/>
      <c r="K165" s="330"/>
      <c r="L165" s="331"/>
      <c r="M165" s="332"/>
      <c r="N165" s="333"/>
      <c r="O165" s="331"/>
      <c r="P165" s="331"/>
      <c r="Q165" s="331"/>
      <c r="R165" s="335">
        <f t="shared" si="3"/>
        <v>0</v>
      </c>
      <c r="S165" s="337">
        <f t="shared" si="4"/>
        <v>0</v>
      </c>
      <c r="T165" s="50"/>
      <c r="U165" s="74"/>
      <c r="V165" s="72"/>
      <c r="W165" s="304"/>
      <c r="X165" s="305"/>
      <c r="Y165" s="305"/>
      <c r="Z165" s="305"/>
      <c r="AA165" s="305"/>
      <c r="AB165" s="305"/>
      <c r="AC165" s="305"/>
      <c r="AD165" s="305"/>
      <c r="AE165" s="305"/>
      <c r="AF165" s="305"/>
      <c r="AG165" s="306"/>
    </row>
    <row r="166" spans="3:33" s="51" customFormat="1" ht="18" thickBot="1">
      <c r="C166" s="327"/>
      <c r="D166" s="328"/>
      <c r="E166" s="328"/>
      <c r="F166" s="328"/>
      <c r="G166" s="328"/>
      <c r="H166" s="328"/>
      <c r="I166" s="328"/>
      <c r="J166" s="329"/>
      <c r="K166" s="330"/>
      <c r="L166" s="331"/>
      <c r="M166" s="332"/>
      <c r="N166" s="333"/>
      <c r="O166" s="331"/>
      <c r="P166" s="331"/>
      <c r="Q166" s="331"/>
      <c r="R166" s="335">
        <f t="shared" si="3"/>
        <v>0</v>
      </c>
      <c r="S166" s="337">
        <f t="shared" si="4"/>
        <v>0</v>
      </c>
      <c r="T166" s="50"/>
      <c r="U166" s="74"/>
      <c r="V166" s="72"/>
      <c r="W166" s="304"/>
      <c r="X166" s="305"/>
      <c r="Y166" s="305"/>
      <c r="Z166" s="305"/>
      <c r="AA166" s="305"/>
      <c r="AB166" s="305"/>
      <c r="AC166" s="305"/>
      <c r="AD166" s="305"/>
      <c r="AE166" s="305"/>
      <c r="AF166" s="305"/>
      <c r="AG166" s="306"/>
    </row>
    <row r="167" spans="3:33" s="51" customFormat="1" ht="18" thickBot="1">
      <c r="C167" s="327"/>
      <c r="D167" s="328"/>
      <c r="E167" s="328"/>
      <c r="F167" s="328"/>
      <c r="G167" s="328"/>
      <c r="H167" s="328"/>
      <c r="I167" s="328"/>
      <c r="J167" s="329"/>
      <c r="K167" s="330"/>
      <c r="L167" s="331"/>
      <c r="M167" s="332"/>
      <c r="N167" s="333"/>
      <c r="O167" s="331"/>
      <c r="P167" s="331"/>
      <c r="Q167" s="331"/>
      <c r="R167" s="335">
        <f t="shared" si="3"/>
        <v>0</v>
      </c>
      <c r="S167" s="337">
        <f t="shared" si="4"/>
        <v>0</v>
      </c>
      <c r="T167" s="50"/>
      <c r="U167" s="74"/>
      <c r="V167" s="72"/>
      <c r="W167" s="304"/>
      <c r="X167" s="305"/>
      <c r="Y167" s="305"/>
      <c r="Z167" s="305"/>
      <c r="AA167" s="305"/>
      <c r="AB167" s="305"/>
      <c r="AC167" s="305"/>
      <c r="AD167" s="305"/>
      <c r="AE167" s="305"/>
      <c r="AF167" s="305"/>
      <c r="AG167" s="306"/>
    </row>
    <row r="168" spans="3:33" s="51" customFormat="1" ht="18" thickBot="1">
      <c r="C168" s="327"/>
      <c r="D168" s="328"/>
      <c r="E168" s="328"/>
      <c r="F168" s="328"/>
      <c r="G168" s="328"/>
      <c r="H168" s="328"/>
      <c r="I168" s="328"/>
      <c r="J168" s="329"/>
      <c r="K168" s="330"/>
      <c r="L168" s="331"/>
      <c r="M168" s="332"/>
      <c r="N168" s="333"/>
      <c r="O168" s="331"/>
      <c r="P168" s="331"/>
      <c r="Q168" s="331"/>
      <c r="R168" s="335">
        <f t="shared" si="3"/>
        <v>0</v>
      </c>
      <c r="S168" s="337">
        <f t="shared" si="4"/>
        <v>0</v>
      </c>
      <c r="T168" s="50"/>
      <c r="U168" s="74"/>
      <c r="V168" s="72"/>
      <c r="W168" s="304"/>
      <c r="X168" s="305"/>
      <c r="Y168" s="305"/>
      <c r="Z168" s="305"/>
      <c r="AA168" s="305"/>
      <c r="AB168" s="305"/>
      <c r="AC168" s="305"/>
      <c r="AD168" s="305"/>
      <c r="AE168" s="305"/>
      <c r="AF168" s="305"/>
      <c r="AG168" s="306"/>
    </row>
    <row r="169" spans="3:33" s="51" customFormat="1" ht="18" thickBot="1">
      <c r="C169" s="327"/>
      <c r="D169" s="328"/>
      <c r="E169" s="328"/>
      <c r="F169" s="328"/>
      <c r="G169" s="328"/>
      <c r="H169" s="328"/>
      <c r="I169" s="328"/>
      <c r="J169" s="329"/>
      <c r="K169" s="330"/>
      <c r="L169" s="331"/>
      <c r="M169" s="332"/>
      <c r="N169" s="333"/>
      <c r="O169" s="331"/>
      <c r="P169" s="331"/>
      <c r="Q169" s="331"/>
      <c r="R169" s="335">
        <f t="shared" si="3"/>
        <v>0</v>
      </c>
      <c r="S169" s="337">
        <f t="shared" si="4"/>
        <v>0</v>
      </c>
      <c r="T169" s="50"/>
      <c r="U169" s="74"/>
      <c r="V169" s="72"/>
      <c r="W169" s="304"/>
      <c r="X169" s="305"/>
      <c r="Y169" s="305"/>
      <c r="Z169" s="305"/>
      <c r="AA169" s="305"/>
      <c r="AB169" s="305"/>
      <c r="AC169" s="305"/>
      <c r="AD169" s="305"/>
      <c r="AE169" s="305"/>
      <c r="AF169" s="305"/>
      <c r="AG169" s="306"/>
    </row>
    <row r="170" spans="3:33" s="51" customFormat="1" ht="18" thickBot="1">
      <c r="C170" s="327"/>
      <c r="D170" s="328"/>
      <c r="E170" s="328"/>
      <c r="F170" s="328"/>
      <c r="G170" s="328"/>
      <c r="H170" s="328"/>
      <c r="I170" s="328"/>
      <c r="J170" s="329"/>
      <c r="K170" s="330"/>
      <c r="L170" s="331"/>
      <c r="M170" s="332"/>
      <c r="N170" s="333"/>
      <c r="O170" s="331"/>
      <c r="P170" s="331"/>
      <c r="Q170" s="331"/>
      <c r="R170" s="335">
        <f t="shared" si="3"/>
        <v>0</v>
      </c>
      <c r="S170" s="337">
        <f t="shared" si="4"/>
        <v>0</v>
      </c>
      <c r="T170" s="50"/>
      <c r="U170" s="74"/>
      <c r="V170" s="72"/>
      <c r="W170" s="304"/>
      <c r="X170" s="305"/>
      <c r="Y170" s="305"/>
      <c r="Z170" s="305"/>
      <c r="AA170" s="305"/>
      <c r="AB170" s="305"/>
      <c r="AC170" s="305"/>
      <c r="AD170" s="305"/>
      <c r="AE170" s="305"/>
      <c r="AF170" s="305"/>
      <c r="AG170" s="306"/>
    </row>
    <row r="171" spans="3:33" s="51" customFormat="1" ht="18" thickBot="1">
      <c r="C171" s="327"/>
      <c r="D171" s="328"/>
      <c r="E171" s="328"/>
      <c r="F171" s="328"/>
      <c r="G171" s="328"/>
      <c r="H171" s="328"/>
      <c r="I171" s="328"/>
      <c r="J171" s="329"/>
      <c r="K171" s="330"/>
      <c r="L171" s="331"/>
      <c r="M171" s="332"/>
      <c r="N171" s="333"/>
      <c r="O171" s="331"/>
      <c r="P171" s="331"/>
      <c r="Q171" s="331"/>
      <c r="R171" s="335">
        <f t="shared" si="3"/>
        <v>0</v>
      </c>
      <c r="S171" s="337">
        <f t="shared" si="4"/>
        <v>0</v>
      </c>
      <c r="T171" s="50"/>
      <c r="U171" s="74"/>
      <c r="V171" s="72"/>
      <c r="W171" s="304"/>
      <c r="X171" s="305"/>
      <c r="Y171" s="305"/>
      <c r="Z171" s="305"/>
      <c r="AA171" s="305"/>
      <c r="AB171" s="305"/>
      <c r="AC171" s="305"/>
      <c r="AD171" s="305"/>
      <c r="AE171" s="305"/>
      <c r="AF171" s="305"/>
      <c r="AG171" s="306"/>
    </row>
    <row r="172" spans="3:33" s="51" customFormat="1" ht="18" thickBot="1">
      <c r="C172" s="327"/>
      <c r="D172" s="328"/>
      <c r="E172" s="328"/>
      <c r="F172" s="328"/>
      <c r="G172" s="328"/>
      <c r="H172" s="328"/>
      <c r="I172" s="328"/>
      <c r="J172" s="329"/>
      <c r="K172" s="330"/>
      <c r="L172" s="331"/>
      <c r="M172" s="332"/>
      <c r="N172" s="333"/>
      <c r="O172" s="331"/>
      <c r="P172" s="331"/>
      <c r="Q172" s="331"/>
      <c r="R172" s="335">
        <f t="shared" si="3"/>
        <v>0</v>
      </c>
      <c r="S172" s="337">
        <f t="shared" si="4"/>
        <v>0</v>
      </c>
      <c r="T172" s="50"/>
      <c r="U172" s="74"/>
      <c r="V172" s="72"/>
      <c r="W172" s="304"/>
      <c r="X172" s="305"/>
      <c r="Y172" s="305"/>
      <c r="Z172" s="305"/>
      <c r="AA172" s="305"/>
      <c r="AB172" s="305"/>
      <c r="AC172" s="305"/>
      <c r="AD172" s="305"/>
      <c r="AE172" s="305"/>
      <c r="AF172" s="305"/>
      <c r="AG172" s="306"/>
    </row>
    <row r="173" spans="3:33" s="51" customFormat="1" ht="18" thickBot="1">
      <c r="C173" s="327"/>
      <c r="D173" s="328"/>
      <c r="E173" s="328"/>
      <c r="F173" s="328"/>
      <c r="G173" s="328"/>
      <c r="H173" s="328"/>
      <c r="I173" s="328"/>
      <c r="J173" s="329"/>
      <c r="K173" s="330"/>
      <c r="L173" s="331"/>
      <c r="M173" s="332"/>
      <c r="N173" s="333"/>
      <c r="O173" s="331"/>
      <c r="P173" s="331"/>
      <c r="Q173" s="331"/>
      <c r="R173" s="335">
        <f t="shared" si="3"/>
        <v>0</v>
      </c>
      <c r="S173" s="337">
        <f t="shared" si="4"/>
        <v>0</v>
      </c>
      <c r="T173" s="50"/>
      <c r="U173" s="74"/>
      <c r="V173" s="72"/>
      <c r="W173" s="304"/>
      <c r="X173" s="305"/>
      <c r="Y173" s="305"/>
      <c r="Z173" s="305"/>
      <c r="AA173" s="305"/>
      <c r="AB173" s="305"/>
      <c r="AC173" s="305"/>
      <c r="AD173" s="305"/>
      <c r="AE173" s="305"/>
      <c r="AF173" s="305"/>
      <c r="AG173" s="306"/>
    </row>
    <row r="174" spans="3:33" s="51" customFormat="1" ht="18" thickBot="1">
      <c r="C174" s="327"/>
      <c r="D174" s="328"/>
      <c r="E174" s="328"/>
      <c r="F174" s="328"/>
      <c r="G174" s="328"/>
      <c r="H174" s="328"/>
      <c r="I174" s="328"/>
      <c r="J174" s="329"/>
      <c r="K174" s="330"/>
      <c r="L174" s="331"/>
      <c r="M174" s="332"/>
      <c r="N174" s="333"/>
      <c r="O174" s="331"/>
      <c r="P174" s="331"/>
      <c r="Q174" s="331"/>
      <c r="R174" s="335">
        <f t="shared" si="3"/>
        <v>0</v>
      </c>
      <c r="S174" s="337">
        <f t="shared" si="4"/>
        <v>0</v>
      </c>
      <c r="T174" s="50"/>
      <c r="U174" s="74"/>
      <c r="V174" s="72"/>
      <c r="W174" s="304"/>
      <c r="X174" s="305"/>
      <c r="Y174" s="305"/>
      <c r="Z174" s="305"/>
      <c r="AA174" s="305"/>
      <c r="AB174" s="305"/>
      <c r="AC174" s="305"/>
      <c r="AD174" s="305"/>
      <c r="AE174" s="305"/>
      <c r="AF174" s="305"/>
      <c r="AG174" s="306"/>
    </row>
    <row r="175" spans="3:33" s="51" customFormat="1" ht="18" thickBot="1">
      <c r="C175" s="327"/>
      <c r="D175" s="328"/>
      <c r="E175" s="328"/>
      <c r="F175" s="328"/>
      <c r="G175" s="328"/>
      <c r="H175" s="328"/>
      <c r="I175" s="328"/>
      <c r="J175" s="329"/>
      <c r="K175" s="330"/>
      <c r="L175" s="331"/>
      <c r="M175" s="332"/>
      <c r="N175" s="333"/>
      <c r="O175" s="331"/>
      <c r="P175" s="331"/>
      <c r="Q175" s="331"/>
      <c r="R175" s="335">
        <f t="shared" si="3"/>
        <v>0</v>
      </c>
      <c r="S175" s="337">
        <f t="shared" si="4"/>
        <v>0</v>
      </c>
      <c r="T175" s="50"/>
      <c r="U175" s="74"/>
      <c r="V175" s="72"/>
      <c r="W175" s="304"/>
      <c r="X175" s="305"/>
      <c r="Y175" s="305"/>
      <c r="Z175" s="305"/>
      <c r="AA175" s="305"/>
      <c r="AB175" s="305"/>
      <c r="AC175" s="305"/>
      <c r="AD175" s="305"/>
      <c r="AE175" s="305"/>
      <c r="AF175" s="305"/>
      <c r="AG175" s="306"/>
    </row>
    <row r="176" spans="3:33" s="51" customFormat="1" ht="18" thickBot="1">
      <c r="C176" s="327"/>
      <c r="D176" s="328"/>
      <c r="E176" s="328"/>
      <c r="F176" s="328"/>
      <c r="G176" s="328"/>
      <c r="H176" s="328"/>
      <c r="I176" s="328"/>
      <c r="J176" s="329"/>
      <c r="K176" s="330"/>
      <c r="L176" s="331"/>
      <c r="M176" s="332"/>
      <c r="N176" s="333"/>
      <c r="O176" s="331"/>
      <c r="P176" s="331"/>
      <c r="Q176" s="331"/>
      <c r="R176" s="335">
        <f t="shared" si="3"/>
        <v>0</v>
      </c>
      <c r="S176" s="337">
        <f t="shared" si="4"/>
        <v>0</v>
      </c>
      <c r="T176" s="50"/>
      <c r="U176" s="74"/>
      <c r="V176" s="72"/>
      <c r="W176" s="304"/>
      <c r="X176" s="305"/>
      <c r="Y176" s="305"/>
      <c r="Z176" s="305"/>
      <c r="AA176" s="305"/>
      <c r="AB176" s="305"/>
      <c r="AC176" s="305"/>
      <c r="AD176" s="305"/>
      <c r="AE176" s="305"/>
      <c r="AF176" s="305"/>
      <c r="AG176" s="306"/>
    </row>
    <row r="177" spans="3:33" s="51" customFormat="1" ht="18" thickBot="1">
      <c r="C177" s="327"/>
      <c r="D177" s="328"/>
      <c r="E177" s="328"/>
      <c r="F177" s="328"/>
      <c r="G177" s="328"/>
      <c r="H177" s="328"/>
      <c r="I177" s="328"/>
      <c r="J177" s="329"/>
      <c r="K177" s="330"/>
      <c r="L177" s="331"/>
      <c r="M177" s="332"/>
      <c r="N177" s="333"/>
      <c r="O177" s="331"/>
      <c r="P177" s="331"/>
      <c r="Q177" s="331"/>
      <c r="R177" s="335">
        <f t="shared" si="3"/>
        <v>0</v>
      </c>
      <c r="S177" s="337">
        <f t="shared" si="4"/>
        <v>0</v>
      </c>
      <c r="T177" s="50"/>
      <c r="U177" s="74"/>
      <c r="V177" s="72"/>
      <c r="W177" s="304"/>
      <c r="X177" s="305"/>
      <c r="Y177" s="305"/>
      <c r="Z177" s="305"/>
      <c r="AA177" s="305"/>
      <c r="AB177" s="305"/>
      <c r="AC177" s="305"/>
      <c r="AD177" s="305"/>
      <c r="AE177" s="305"/>
      <c r="AF177" s="305"/>
      <c r="AG177" s="306"/>
    </row>
    <row r="178" spans="3:33" s="51" customFormat="1" ht="18" thickBot="1">
      <c r="C178" s="327"/>
      <c r="D178" s="328"/>
      <c r="E178" s="328"/>
      <c r="F178" s="328"/>
      <c r="G178" s="328"/>
      <c r="H178" s="328"/>
      <c r="I178" s="328"/>
      <c r="J178" s="329"/>
      <c r="K178" s="330"/>
      <c r="L178" s="331"/>
      <c r="M178" s="332"/>
      <c r="N178" s="333"/>
      <c r="O178" s="331"/>
      <c r="P178" s="331"/>
      <c r="Q178" s="331"/>
      <c r="R178" s="335">
        <f t="shared" si="3"/>
        <v>0</v>
      </c>
      <c r="S178" s="337">
        <f t="shared" si="4"/>
        <v>0</v>
      </c>
      <c r="T178" s="50"/>
      <c r="U178" s="74"/>
      <c r="V178" s="72"/>
      <c r="W178" s="304"/>
      <c r="X178" s="305"/>
      <c r="Y178" s="305"/>
      <c r="Z178" s="305"/>
      <c r="AA178" s="305"/>
      <c r="AB178" s="305"/>
      <c r="AC178" s="305"/>
      <c r="AD178" s="305"/>
      <c r="AE178" s="305"/>
      <c r="AF178" s="305"/>
      <c r="AG178" s="306"/>
    </row>
    <row r="179" spans="3:33" s="51" customFormat="1" ht="18" thickBot="1">
      <c r="C179" s="327"/>
      <c r="D179" s="328"/>
      <c r="E179" s="328"/>
      <c r="F179" s="328"/>
      <c r="G179" s="328"/>
      <c r="H179" s="328"/>
      <c r="I179" s="328"/>
      <c r="J179" s="329"/>
      <c r="K179" s="330"/>
      <c r="L179" s="331"/>
      <c r="M179" s="332"/>
      <c r="N179" s="333"/>
      <c r="O179" s="331"/>
      <c r="P179" s="331"/>
      <c r="Q179" s="331"/>
      <c r="R179" s="335">
        <f t="shared" si="3"/>
        <v>0</v>
      </c>
      <c r="S179" s="337">
        <f t="shared" si="4"/>
        <v>0</v>
      </c>
      <c r="T179" s="50"/>
      <c r="U179" s="74"/>
      <c r="V179" s="72"/>
      <c r="W179" s="304"/>
      <c r="X179" s="305"/>
      <c r="Y179" s="305"/>
      <c r="Z179" s="305"/>
      <c r="AA179" s="305"/>
      <c r="AB179" s="305"/>
      <c r="AC179" s="305"/>
      <c r="AD179" s="305"/>
      <c r="AE179" s="305"/>
      <c r="AF179" s="305"/>
      <c r="AG179" s="306"/>
    </row>
    <row r="180" spans="3:33" s="51" customFormat="1" ht="18" thickBot="1">
      <c r="C180" s="327"/>
      <c r="D180" s="328"/>
      <c r="E180" s="328"/>
      <c r="F180" s="328"/>
      <c r="G180" s="328"/>
      <c r="H180" s="328"/>
      <c r="I180" s="328"/>
      <c r="J180" s="329"/>
      <c r="K180" s="330"/>
      <c r="L180" s="331"/>
      <c r="M180" s="332"/>
      <c r="N180" s="333"/>
      <c r="O180" s="331"/>
      <c r="P180" s="331"/>
      <c r="Q180" s="331"/>
      <c r="R180" s="335">
        <f t="shared" ref="R180:R201" si="5">N180*(1+O180)*(1+P180)</f>
        <v>0</v>
      </c>
      <c r="S180" s="337">
        <f t="shared" ref="S180:S201" si="6">IF(OR(K180&lt;&gt;0,K180&lt;&gt;""),(K180+L180)*R180,R180*(J180+L180))</f>
        <v>0</v>
      </c>
      <c r="T180" s="50"/>
      <c r="U180" s="74"/>
      <c r="V180" s="72"/>
      <c r="W180" s="304"/>
      <c r="X180" s="305"/>
      <c r="Y180" s="305"/>
      <c r="Z180" s="305"/>
      <c r="AA180" s="305"/>
      <c r="AB180" s="305"/>
      <c r="AC180" s="305"/>
      <c r="AD180" s="305"/>
      <c r="AE180" s="305"/>
      <c r="AF180" s="305"/>
      <c r="AG180" s="306"/>
    </row>
    <row r="181" spans="3:33" s="51" customFormat="1" ht="18" thickBot="1">
      <c r="C181" s="327"/>
      <c r="D181" s="328"/>
      <c r="E181" s="328"/>
      <c r="F181" s="328"/>
      <c r="G181" s="328"/>
      <c r="H181" s="328"/>
      <c r="I181" s="328"/>
      <c r="J181" s="329"/>
      <c r="K181" s="330"/>
      <c r="L181" s="331"/>
      <c r="M181" s="332"/>
      <c r="N181" s="333"/>
      <c r="O181" s="331"/>
      <c r="P181" s="331"/>
      <c r="Q181" s="331"/>
      <c r="R181" s="335">
        <f t="shared" si="5"/>
        <v>0</v>
      </c>
      <c r="S181" s="337">
        <f t="shared" si="6"/>
        <v>0</v>
      </c>
      <c r="T181" s="50"/>
      <c r="U181" s="74"/>
      <c r="V181" s="72"/>
      <c r="W181" s="304"/>
      <c r="X181" s="305"/>
      <c r="Y181" s="305"/>
      <c r="Z181" s="305"/>
      <c r="AA181" s="305"/>
      <c r="AB181" s="305"/>
      <c r="AC181" s="305"/>
      <c r="AD181" s="305"/>
      <c r="AE181" s="305"/>
      <c r="AF181" s="305"/>
      <c r="AG181" s="306"/>
    </row>
    <row r="182" spans="3:33" s="51" customFormat="1" ht="18" thickBot="1">
      <c r="C182" s="327"/>
      <c r="D182" s="328"/>
      <c r="E182" s="328"/>
      <c r="F182" s="328"/>
      <c r="G182" s="328"/>
      <c r="H182" s="328"/>
      <c r="I182" s="328"/>
      <c r="J182" s="329"/>
      <c r="K182" s="330"/>
      <c r="L182" s="331"/>
      <c r="M182" s="332"/>
      <c r="N182" s="333"/>
      <c r="O182" s="331"/>
      <c r="P182" s="331"/>
      <c r="Q182" s="331"/>
      <c r="R182" s="335">
        <f t="shared" si="5"/>
        <v>0</v>
      </c>
      <c r="S182" s="337">
        <f t="shared" si="6"/>
        <v>0</v>
      </c>
      <c r="T182" s="50"/>
      <c r="U182" s="74"/>
      <c r="V182" s="72"/>
      <c r="W182" s="304"/>
      <c r="X182" s="305"/>
      <c r="Y182" s="305"/>
      <c r="Z182" s="305"/>
      <c r="AA182" s="305"/>
      <c r="AB182" s="305"/>
      <c r="AC182" s="305"/>
      <c r="AD182" s="305"/>
      <c r="AE182" s="305"/>
      <c r="AF182" s="305"/>
      <c r="AG182" s="306"/>
    </row>
    <row r="183" spans="3:33" s="51" customFormat="1" ht="18" thickBot="1">
      <c r="C183" s="327"/>
      <c r="D183" s="328"/>
      <c r="E183" s="328"/>
      <c r="F183" s="328"/>
      <c r="G183" s="328"/>
      <c r="H183" s="328"/>
      <c r="I183" s="328"/>
      <c r="J183" s="329"/>
      <c r="K183" s="330"/>
      <c r="L183" s="331"/>
      <c r="M183" s="332"/>
      <c r="N183" s="333"/>
      <c r="O183" s="331"/>
      <c r="P183" s="331"/>
      <c r="Q183" s="331"/>
      <c r="R183" s="335">
        <f t="shared" si="5"/>
        <v>0</v>
      </c>
      <c r="S183" s="337">
        <f t="shared" si="6"/>
        <v>0</v>
      </c>
      <c r="T183" s="50"/>
      <c r="U183" s="74"/>
      <c r="V183" s="72"/>
      <c r="W183" s="304"/>
      <c r="X183" s="305"/>
      <c r="Y183" s="305"/>
      <c r="Z183" s="305"/>
      <c r="AA183" s="305"/>
      <c r="AB183" s="305"/>
      <c r="AC183" s="305"/>
      <c r="AD183" s="305"/>
      <c r="AE183" s="305"/>
      <c r="AF183" s="305"/>
      <c r="AG183" s="306"/>
    </row>
    <row r="184" spans="3:33" s="51" customFormat="1" ht="18" thickBot="1">
      <c r="C184" s="327"/>
      <c r="D184" s="328"/>
      <c r="E184" s="328"/>
      <c r="F184" s="328"/>
      <c r="G184" s="328"/>
      <c r="H184" s="328"/>
      <c r="I184" s="328"/>
      <c r="J184" s="329"/>
      <c r="K184" s="330"/>
      <c r="L184" s="331"/>
      <c r="M184" s="332"/>
      <c r="N184" s="333"/>
      <c r="O184" s="331"/>
      <c r="P184" s="331"/>
      <c r="Q184" s="331"/>
      <c r="R184" s="335">
        <f t="shared" si="5"/>
        <v>0</v>
      </c>
      <c r="S184" s="337">
        <f t="shared" si="6"/>
        <v>0</v>
      </c>
      <c r="T184" s="50"/>
      <c r="U184" s="74"/>
      <c r="V184" s="72"/>
      <c r="W184" s="304"/>
      <c r="X184" s="305"/>
      <c r="Y184" s="305"/>
      <c r="Z184" s="305"/>
      <c r="AA184" s="305"/>
      <c r="AB184" s="305"/>
      <c r="AC184" s="305"/>
      <c r="AD184" s="305"/>
      <c r="AE184" s="305"/>
      <c r="AF184" s="305"/>
      <c r="AG184" s="306"/>
    </row>
    <row r="185" spans="3:33" s="51" customFormat="1" ht="18" thickBot="1">
      <c r="C185" s="327"/>
      <c r="D185" s="328"/>
      <c r="E185" s="328"/>
      <c r="F185" s="328"/>
      <c r="G185" s="328"/>
      <c r="H185" s="328"/>
      <c r="I185" s="328"/>
      <c r="J185" s="329"/>
      <c r="K185" s="330"/>
      <c r="L185" s="331"/>
      <c r="M185" s="332"/>
      <c r="N185" s="333"/>
      <c r="O185" s="331"/>
      <c r="P185" s="331"/>
      <c r="Q185" s="331"/>
      <c r="R185" s="335">
        <f t="shared" si="5"/>
        <v>0</v>
      </c>
      <c r="S185" s="337">
        <f t="shared" si="6"/>
        <v>0</v>
      </c>
      <c r="T185" s="50"/>
      <c r="U185" s="74"/>
      <c r="V185" s="72"/>
      <c r="W185" s="304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6"/>
    </row>
    <row r="186" spans="3:33" s="51" customFormat="1" ht="18" thickBot="1">
      <c r="C186" s="327"/>
      <c r="D186" s="328"/>
      <c r="E186" s="328"/>
      <c r="F186" s="328"/>
      <c r="G186" s="328"/>
      <c r="H186" s="328"/>
      <c r="I186" s="328"/>
      <c r="J186" s="329"/>
      <c r="K186" s="330"/>
      <c r="L186" s="331"/>
      <c r="M186" s="332"/>
      <c r="N186" s="333"/>
      <c r="O186" s="331"/>
      <c r="P186" s="331"/>
      <c r="Q186" s="331"/>
      <c r="R186" s="335">
        <f t="shared" si="5"/>
        <v>0</v>
      </c>
      <c r="S186" s="337">
        <f t="shared" si="6"/>
        <v>0</v>
      </c>
      <c r="T186" s="50"/>
      <c r="U186" s="74"/>
      <c r="V186" s="72"/>
      <c r="W186" s="304"/>
      <c r="X186" s="305"/>
      <c r="Y186" s="305"/>
      <c r="Z186" s="305"/>
      <c r="AA186" s="305"/>
      <c r="AB186" s="305"/>
      <c r="AC186" s="305"/>
      <c r="AD186" s="305"/>
      <c r="AE186" s="305"/>
      <c r="AF186" s="305"/>
      <c r="AG186" s="306"/>
    </row>
    <row r="187" spans="3:33" s="51" customFormat="1" ht="18" thickBot="1">
      <c r="C187" s="327"/>
      <c r="D187" s="328"/>
      <c r="E187" s="328"/>
      <c r="F187" s="328"/>
      <c r="G187" s="328"/>
      <c r="H187" s="328"/>
      <c r="I187" s="328"/>
      <c r="J187" s="329"/>
      <c r="K187" s="330"/>
      <c r="L187" s="331"/>
      <c r="M187" s="332"/>
      <c r="N187" s="333"/>
      <c r="O187" s="331"/>
      <c r="P187" s="331"/>
      <c r="Q187" s="331"/>
      <c r="R187" s="335">
        <f t="shared" si="5"/>
        <v>0</v>
      </c>
      <c r="S187" s="337">
        <f t="shared" si="6"/>
        <v>0</v>
      </c>
      <c r="T187" s="50"/>
      <c r="U187" s="74"/>
      <c r="V187" s="72"/>
      <c r="W187" s="304"/>
      <c r="X187" s="305"/>
      <c r="Y187" s="305"/>
      <c r="Z187" s="305"/>
      <c r="AA187" s="305"/>
      <c r="AB187" s="305"/>
      <c r="AC187" s="305"/>
      <c r="AD187" s="305"/>
      <c r="AE187" s="305"/>
      <c r="AF187" s="305"/>
      <c r="AG187" s="306"/>
    </row>
    <row r="188" spans="3:33" s="51" customFormat="1" ht="18" thickBot="1">
      <c r="C188" s="327"/>
      <c r="D188" s="328"/>
      <c r="E188" s="328"/>
      <c r="F188" s="328"/>
      <c r="G188" s="328"/>
      <c r="H188" s="328"/>
      <c r="I188" s="328"/>
      <c r="J188" s="329"/>
      <c r="K188" s="330"/>
      <c r="L188" s="331"/>
      <c r="M188" s="332"/>
      <c r="N188" s="333"/>
      <c r="O188" s="331"/>
      <c r="P188" s="331"/>
      <c r="Q188" s="331"/>
      <c r="R188" s="335">
        <f t="shared" si="5"/>
        <v>0</v>
      </c>
      <c r="S188" s="337">
        <f t="shared" si="6"/>
        <v>0</v>
      </c>
      <c r="T188" s="50"/>
      <c r="U188" s="74"/>
      <c r="V188" s="72"/>
      <c r="W188" s="304"/>
      <c r="X188" s="305"/>
      <c r="Y188" s="305"/>
      <c r="Z188" s="305"/>
      <c r="AA188" s="305"/>
      <c r="AB188" s="305"/>
      <c r="AC188" s="305"/>
      <c r="AD188" s="305"/>
      <c r="AE188" s="305"/>
      <c r="AF188" s="305"/>
      <c r="AG188" s="306"/>
    </row>
    <row r="189" spans="3:33" s="51" customFormat="1" ht="18" thickBot="1">
      <c r="C189" s="327"/>
      <c r="D189" s="328"/>
      <c r="E189" s="328"/>
      <c r="F189" s="328"/>
      <c r="G189" s="328"/>
      <c r="H189" s="328"/>
      <c r="I189" s="328"/>
      <c r="J189" s="329"/>
      <c r="K189" s="330"/>
      <c r="L189" s="331"/>
      <c r="M189" s="332"/>
      <c r="N189" s="333"/>
      <c r="O189" s="331"/>
      <c r="P189" s="331"/>
      <c r="Q189" s="331"/>
      <c r="R189" s="335">
        <f t="shared" si="5"/>
        <v>0</v>
      </c>
      <c r="S189" s="337">
        <f t="shared" si="6"/>
        <v>0</v>
      </c>
      <c r="T189" s="50"/>
      <c r="U189" s="74"/>
      <c r="V189" s="72"/>
      <c r="W189" s="304"/>
      <c r="X189" s="305"/>
      <c r="Y189" s="305"/>
      <c r="Z189" s="305"/>
      <c r="AA189" s="305"/>
      <c r="AB189" s="305"/>
      <c r="AC189" s="305"/>
      <c r="AD189" s="305"/>
      <c r="AE189" s="305"/>
      <c r="AF189" s="305"/>
      <c r="AG189" s="306"/>
    </row>
    <row r="190" spans="3:33" s="51" customFormat="1" ht="18" thickBot="1">
      <c r="C190" s="327"/>
      <c r="D190" s="328"/>
      <c r="E190" s="328"/>
      <c r="F190" s="328"/>
      <c r="G190" s="328"/>
      <c r="H190" s="328"/>
      <c r="I190" s="328"/>
      <c r="J190" s="329"/>
      <c r="K190" s="330"/>
      <c r="L190" s="331"/>
      <c r="M190" s="332"/>
      <c r="N190" s="333"/>
      <c r="O190" s="331"/>
      <c r="P190" s="331"/>
      <c r="Q190" s="331"/>
      <c r="R190" s="335">
        <f t="shared" si="5"/>
        <v>0</v>
      </c>
      <c r="S190" s="337">
        <f t="shared" si="6"/>
        <v>0</v>
      </c>
      <c r="T190" s="50"/>
      <c r="U190" s="74"/>
      <c r="V190" s="72"/>
      <c r="W190" s="304"/>
      <c r="X190" s="305"/>
      <c r="Y190" s="305"/>
      <c r="Z190" s="305"/>
      <c r="AA190" s="305"/>
      <c r="AB190" s="305"/>
      <c r="AC190" s="305"/>
      <c r="AD190" s="305"/>
      <c r="AE190" s="305"/>
      <c r="AF190" s="305"/>
      <c r="AG190" s="306"/>
    </row>
    <row r="191" spans="3:33" s="51" customFormat="1" ht="18" thickBot="1">
      <c r="C191" s="327"/>
      <c r="D191" s="328"/>
      <c r="E191" s="328"/>
      <c r="F191" s="328"/>
      <c r="G191" s="328"/>
      <c r="H191" s="328"/>
      <c r="I191" s="328"/>
      <c r="J191" s="329"/>
      <c r="K191" s="330"/>
      <c r="L191" s="331"/>
      <c r="M191" s="332"/>
      <c r="N191" s="333"/>
      <c r="O191" s="331"/>
      <c r="P191" s="331"/>
      <c r="Q191" s="331"/>
      <c r="R191" s="335">
        <f t="shared" si="5"/>
        <v>0</v>
      </c>
      <c r="S191" s="337">
        <f t="shared" si="6"/>
        <v>0</v>
      </c>
      <c r="T191" s="50"/>
      <c r="U191" s="74"/>
      <c r="V191" s="72"/>
      <c r="W191" s="304"/>
      <c r="X191" s="305"/>
      <c r="Y191" s="305"/>
      <c r="Z191" s="305"/>
      <c r="AA191" s="305"/>
      <c r="AB191" s="305"/>
      <c r="AC191" s="305"/>
      <c r="AD191" s="305"/>
      <c r="AE191" s="305"/>
      <c r="AF191" s="305"/>
      <c r="AG191" s="306"/>
    </row>
    <row r="192" spans="3:33" s="51" customFormat="1" ht="18" thickBot="1">
      <c r="C192" s="327"/>
      <c r="D192" s="328"/>
      <c r="E192" s="328"/>
      <c r="F192" s="328"/>
      <c r="G192" s="328"/>
      <c r="H192" s="328"/>
      <c r="I192" s="328"/>
      <c r="J192" s="329"/>
      <c r="K192" s="330"/>
      <c r="L192" s="331"/>
      <c r="M192" s="332"/>
      <c r="N192" s="333"/>
      <c r="O192" s="331"/>
      <c r="P192" s="331"/>
      <c r="Q192" s="331"/>
      <c r="R192" s="335">
        <f t="shared" si="5"/>
        <v>0</v>
      </c>
      <c r="S192" s="337">
        <f t="shared" si="6"/>
        <v>0</v>
      </c>
      <c r="T192" s="50"/>
      <c r="U192" s="74"/>
      <c r="V192" s="72"/>
      <c r="W192" s="304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6"/>
    </row>
    <row r="193" spans="3:33" s="51" customFormat="1" ht="18" thickBot="1">
      <c r="C193" s="327"/>
      <c r="D193" s="328"/>
      <c r="E193" s="328"/>
      <c r="F193" s="328"/>
      <c r="G193" s="328"/>
      <c r="H193" s="328"/>
      <c r="I193" s="328"/>
      <c r="J193" s="329"/>
      <c r="K193" s="330"/>
      <c r="L193" s="331"/>
      <c r="M193" s="332"/>
      <c r="N193" s="333"/>
      <c r="O193" s="331"/>
      <c r="P193" s="331"/>
      <c r="Q193" s="331"/>
      <c r="R193" s="335">
        <f t="shared" si="5"/>
        <v>0</v>
      </c>
      <c r="S193" s="337">
        <f t="shared" si="6"/>
        <v>0</v>
      </c>
      <c r="T193" s="50"/>
      <c r="U193" s="74"/>
      <c r="V193" s="72"/>
      <c r="W193" s="304"/>
      <c r="X193" s="305"/>
      <c r="Y193" s="305"/>
      <c r="Z193" s="305"/>
      <c r="AA193" s="305"/>
      <c r="AB193" s="305"/>
      <c r="AC193" s="305"/>
      <c r="AD193" s="305"/>
      <c r="AE193" s="305"/>
      <c r="AF193" s="305"/>
      <c r="AG193" s="306"/>
    </row>
    <row r="194" spans="3:33" s="51" customFormat="1" ht="18" thickBot="1">
      <c r="C194" s="327"/>
      <c r="D194" s="328"/>
      <c r="E194" s="328"/>
      <c r="F194" s="328"/>
      <c r="G194" s="328"/>
      <c r="H194" s="328"/>
      <c r="I194" s="328"/>
      <c r="J194" s="329"/>
      <c r="K194" s="330"/>
      <c r="L194" s="331"/>
      <c r="M194" s="332"/>
      <c r="N194" s="333"/>
      <c r="O194" s="331"/>
      <c r="P194" s="331"/>
      <c r="Q194" s="331"/>
      <c r="R194" s="335">
        <f t="shared" si="5"/>
        <v>0</v>
      </c>
      <c r="S194" s="337">
        <f t="shared" si="6"/>
        <v>0</v>
      </c>
      <c r="T194" s="50"/>
      <c r="U194" s="74"/>
      <c r="V194" s="72"/>
      <c r="W194" s="304"/>
      <c r="X194" s="305"/>
      <c r="Y194" s="305"/>
      <c r="Z194" s="305"/>
      <c r="AA194" s="305"/>
      <c r="AB194" s="305"/>
      <c r="AC194" s="305"/>
      <c r="AD194" s="305"/>
      <c r="AE194" s="305"/>
      <c r="AF194" s="305"/>
      <c r="AG194" s="306"/>
    </row>
    <row r="195" spans="3:33" s="51" customFormat="1" ht="18" thickBot="1">
      <c r="C195" s="327"/>
      <c r="D195" s="328"/>
      <c r="E195" s="328"/>
      <c r="F195" s="328"/>
      <c r="G195" s="328"/>
      <c r="H195" s="328"/>
      <c r="I195" s="328"/>
      <c r="J195" s="329"/>
      <c r="K195" s="330"/>
      <c r="L195" s="331"/>
      <c r="M195" s="332"/>
      <c r="N195" s="333"/>
      <c r="O195" s="331"/>
      <c r="P195" s="331"/>
      <c r="Q195" s="331"/>
      <c r="R195" s="335">
        <f t="shared" si="5"/>
        <v>0</v>
      </c>
      <c r="S195" s="337">
        <f t="shared" si="6"/>
        <v>0</v>
      </c>
      <c r="T195" s="50"/>
      <c r="U195" s="74"/>
      <c r="V195" s="72"/>
      <c r="W195" s="304"/>
      <c r="X195" s="305"/>
      <c r="Y195" s="305"/>
      <c r="Z195" s="305"/>
      <c r="AA195" s="305"/>
      <c r="AB195" s="305"/>
      <c r="AC195" s="305"/>
      <c r="AD195" s="305"/>
      <c r="AE195" s="305"/>
      <c r="AF195" s="305"/>
      <c r="AG195" s="306"/>
    </row>
    <row r="196" spans="3:33" s="51" customFormat="1" ht="18" thickBot="1">
      <c r="C196" s="327"/>
      <c r="D196" s="328"/>
      <c r="E196" s="328"/>
      <c r="F196" s="328"/>
      <c r="G196" s="328"/>
      <c r="H196" s="328"/>
      <c r="I196" s="328"/>
      <c r="J196" s="329"/>
      <c r="K196" s="330"/>
      <c r="L196" s="331"/>
      <c r="M196" s="332"/>
      <c r="N196" s="333"/>
      <c r="O196" s="331"/>
      <c r="P196" s="331"/>
      <c r="Q196" s="331"/>
      <c r="R196" s="335">
        <f t="shared" si="5"/>
        <v>0</v>
      </c>
      <c r="S196" s="337">
        <f t="shared" si="6"/>
        <v>0</v>
      </c>
      <c r="T196" s="50"/>
      <c r="U196" s="74"/>
      <c r="V196" s="72"/>
      <c r="W196" s="304"/>
      <c r="X196" s="305"/>
      <c r="Y196" s="305"/>
      <c r="Z196" s="305"/>
      <c r="AA196" s="305"/>
      <c r="AB196" s="305"/>
      <c r="AC196" s="305"/>
      <c r="AD196" s="305"/>
      <c r="AE196" s="305"/>
      <c r="AF196" s="305"/>
      <c r="AG196" s="306"/>
    </row>
    <row r="197" spans="3:33" s="51" customFormat="1" ht="18" thickBot="1">
      <c r="C197" s="327"/>
      <c r="D197" s="328"/>
      <c r="E197" s="328"/>
      <c r="F197" s="328"/>
      <c r="G197" s="328"/>
      <c r="H197" s="328"/>
      <c r="I197" s="328"/>
      <c r="J197" s="329"/>
      <c r="K197" s="330"/>
      <c r="L197" s="331"/>
      <c r="M197" s="332"/>
      <c r="N197" s="333"/>
      <c r="O197" s="331"/>
      <c r="P197" s="331"/>
      <c r="Q197" s="331"/>
      <c r="R197" s="335">
        <f t="shared" si="5"/>
        <v>0</v>
      </c>
      <c r="S197" s="337">
        <f t="shared" si="6"/>
        <v>0</v>
      </c>
      <c r="T197" s="50"/>
      <c r="U197" s="74"/>
      <c r="V197" s="72"/>
      <c r="W197" s="304"/>
      <c r="X197" s="305"/>
      <c r="Y197" s="305"/>
      <c r="Z197" s="305"/>
      <c r="AA197" s="305"/>
      <c r="AB197" s="305"/>
      <c r="AC197" s="305"/>
      <c r="AD197" s="305"/>
      <c r="AE197" s="305"/>
      <c r="AF197" s="305"/>
      <c r="AG197" s="306"/>
    </row>
    <row r="198" spans="3:33" s="51" customFormat="1" ht="18" thickBot="1">
      <c r="C198" s="327"/>
      <c r="D198" s="328"/>
      <c r="E198" s="328"/>
      <c r="F198" s="328"/>
      <c r="G198" s="328"/>
      <c r="H198" s="328"/>
      <c r="I198" s="328"/>
      <c r="J198" s="329"/>
      <c r="K198" s="330"/>
      <c r="L198" s="331"/>
      <c r="M198" s="332"/>
      <c r="N198" s="333"/>
      <c r="O198" s="331"/>
      <c r="P198" s="331"/>
      <c r="Q198" s="331"/>
      <c r="R198" s="335">
        <f t="shared" si="5"/>
        <v>0</v>
      </c>
      <c r="S198" s="337">
        <f t="shared" si="6"/>
        <v>0</v>
      </c>
      <c r="T198" s="50"/>
      <c r="U198" s="74"/>
      <c r="V198" s="72"/>
      <c r="W198" s="304"/>
      <c r="X198" s="305"/>
      <c r="Y198" s="305"/>
      <c r="Z198" s="305"/>
      <c r="AA198" s="305"/>
      <c r="AB198" s="305"/>
      <c r="AC198" s="305"/>
      <c r="AD198" s="305"/>
      <c r="AE198" s="305"/>
      <c r="AF198" s="305"/>
      <c r="AG198" s="306"/>
    </row>
    <row r="199" spans="3:33" s="51" customFormat="1" ht="18" thickBot="1">
      <c r="C199" s="327"/>
      <c r="D199" s="328"/>
      <c r="E199" s="328"/>
      <c r="F199" s="328"/>
      <c r="G199" s="328"/>
      <c r="H199" s="328"/>
      <c r="I199" s="328"/>
      <c r="J199" s="329"/>
      <c r="K199" s="330"/>
      <c r="L199" s="331"/>
      <c r="M199" s="332"/>
      <c r="N199" s="333"/>
      <c r="O199" s="331"/>
      <c r="P199" s="331"/>
      <c r="Q199" s="331"/>
      <c r="R199" s="335">
        <f t="shared" si="5"/>
        <v>0</v>
      </c>
      <c r="S199" s="337">
        <f t="shared" si="6"/>
        <v>0</v>
      </c>
      <c r="T199" s="50"/>
      <c r="U199" s="74"/>
      <c r="V199" s="72"/>
      <c r="W199" s="304"/>
      <c r="X199" s="305"/>
      <c r="Y199" s="305"/>
      <c r="Z199" s="305"/>
      <c r="AA199" s="305"/>
      <c r="AB199" s="305"/>
      <c r="AC199" s="305"/>
      <c r="AD199" s="305"/>
      <c r="AE199" s="305"/>
      <c r="AF199" s="305"/>
      <c r="AG199" s="306"/>
    </row>
    <row r="200" spans="3:33" s="51" customFormat="1" ht="18" thickBot="1">
      <c r="C200" s="327"/>
      <c r="D200" s="328"/>
      <c r="E200" s="328"/>
      <c r="F200" s="328"/>
      <c r="G200" s="328"/>
      <c r="H200" s="328"/>
      <c r="I200" s="328"/>
      <c r="J200" s="329"/>
      <c r="K200" s="330"/>
      <c r="L200" s="331"/>
      <c r="M200" s="332"/>
      <c r="N200" s="333"/>
      <c r="O200" s="331"/>
      <c r="P200" s="331"/>
      <c r="Q200" s="331"/>
      <c r="R200" s="335">
        <f t="shared" si="5"/>
        <v>0</v>
      </c>
      <c r="S200" s="337">
        <f t="shared" si="6"/>
        <v>0</v>
      </c>
      <c r="T200" s="50"/>
      <c r="U200" s="74"/>
      <c r="V200" s="72"/>
      <c r="W200" s="304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6"/>
    </row>
    <row r="201" spans="3:33" s="52" customFormat="1" ht="18" thickBot="1">
      <c r="C201" s="279"/>
      <c r="D201" s="280"/>
      <c r="E201" s="281"/>
      <c r="F201" s="282"/>
      <c r="G201" s="280"/>
      <c r="H201" s="283"/>
      <c r="I201" s="283"/>
      <c r="J201" s="284"/>
      <c r="K201" s="65"/>
      <c r="L201" s="66"/>
      <c r="M201" s="315"/>
      <c r="N201" s="67"/>
      <c r="O201" s="66"/>
      <c r="P201" s="66"/>
      <c r="Q201" s="66"/>
      <c r="R201" s="335">
        <f t="shared" si="5"/>
        <v>0</v>
      </c>
      <c r="S201" s="337">
        <f t="shared" si="6"/>
        <v>0</v>
      </c>
      <c r="T201" s="50"/>
      <c r="U201" s="75"/>
      <c r="V201" s="73"/>
      <c r="W201" s="304"/>
      <c r="X201" s="305"/>
      <c r="Y201" s="305"/>
      <c r="Z201" s="305"/>
      <c r="AA201" s="305"/>
      <c r="AB201" s="305"/>
      <c r="AC201" s="305"/>
      <c r="AD201" s="305"/>
      <c r="AE201" s="305"/>
      <c r="AF201" s="305"/>
      <c r="AG201" s="306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7" t="s">
        <v>193</v>
      </c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9"/>
      <c r="V203" s="72"/>
      <c r="W203" s="82" t="s">
        <v>151</v>
      </c>
      <c r="X203" s="187"/>
      <c r="Y203" s="187"/>
      <c r="Z203" s="187"/>
      <c r="AA203" s="187"/>
      <c r="AB203" s="187"/>
      <c r="AC203" s="187"/>
      <c r="AD203" s="187"/>
      <c r="AE203" s="187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8" t="s">
        <v>177</v>
      </c>
      <c r="D205" s="188" t="s">
        <v>178</v>
      </c>
      <c r="E205" s="188" t="s">
        <v>179</v>
      </c>
      <c r="F205" s="188" t="s">
        <v>180</v>
      </c>
      <c r="G205" s="188" t="s">
        <v>181</v>
      </c>
      <c r="H205" s="188" t="s">
        <v>182</v>
      </c>
      <c r="I205" s="188" t="s">
        <v>183</v>
      </c>
      <c r="J205" s="188" t="s">
        <v>184</v>
      </c>
      <c r="K205" s="188" t="s">
        <v>185</v>
      </c>
      <c r="L205" s="188" t="s">
        <v>186</v>
      </c>
      <c r="M205" s="313"/>
      <c r="N205" s="188" t="s">
        <v>187</v>
      </c>
      <c r="O205" s="188" t="s">
        <v>188</v>
      </c>
      <c r="P205" s="47" t="s">
        <v>1435</v>
      </c>
      <c r="Q205" s="188"/>
      <c r="R205" s="188" t="s">
        <v>1436</v>
      </c>
      <c r="S205" s="189" t="s">
        <v>189</v>
      </c>
      <c r="T205" s="189" t="s">
        <v>1480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5"/>
      <c r="D206" s="286"/>
      <c r="E206" s="287"/>
      <c r="F206" s="288"/>
      <c r="G206" s="289"/>
      <c r="H206" s="287"/>
      <c r="I206" s="290"/>
      <c r="J206" s="290"/>
      <c r="K206" s="338"/>
      <c r="L206" s="339"/>
      <c r="M206" s="314"/>
      <c r="N206" s="334"/>
      <c r="O206" s="340"/>
      <c r="P206" s="340"/>
      <c r="Q206" s="55"/>
      <c r="R206" s="335">
        <f>N206*(1+O206)*(1+P206)</f>
        <v>0</v>
      </c>
      <c r="S206" s="337">
        <f>IF(OR(K206&lt;&gt;0,K206&lt;&gt;""),(K206+L206)*R206,R206*(J206+L206))</f>
        <v>0</v>
      </c>
      <c r="T206" s="50" t="str">
        <f>IF(C206&lt;&gt;"",TRUE,"")</f>
        <v/>
      </c>
      <c r="U206" s="74"/>
      <c r="V206" s="72"/>
      <c r="W206" s="307"/>
      <c r="X206" s="308"/>
      <c r="Y206" s="308"/>
      <c r="Z206" s="308"/>
      <c r="AA206" s="308"/>
      <c r="AB206" s="308"/>
      <c r="AC206" s="308"/>
      <c r="AD206" s="308"/>
      <c r="AE206" s="308"/>
      <c r="AF206" s="308"/>
      <c r="AG206" s="309"/>
    </row>
    <row r="207" spans="3:33" s="49" customFormat="1" ht="18" thickBot="1">
      <c r="C207" s="285"/>
      <c r="D207" s="286"/>
      <c r="E207" s="287"/>
      <c r="F207" s="291"/>
      <c r="G207" s="289"/>
      <c r="H207" s="287"/>
      <c r="I207" s="290"/>
      <c r="J207" s="290"/>
      <c r="K207" s="338"/>
      <c r="L207" s="339"/>
      <c r="M207" s="314"/>
      <c r="N207" s="334"/>
      <c r="O207" s="340"/>
      <c r="P207" s="340"/>
      <c r="Q207" s="55"/>
      <c r="R207" s="335">
        <f t="shared" ref="R207:R219" si="7">N207*(1+O207)*(1+P207)</f>
        <v>0</v>
      </c>
      <c r="S207" s="337">
        <f t="shared" ref="S207:S220" si="8">IF(OR(K207&lt;&gt;0,K207&lt;&gt;""),(K207+L207)*R207,R207*(J207+L207))</f>
        <v>0</v>
      </c>
      <c r="T207" s="50" t="str">
        <f t="shared" ref="T207:T220" si="9">IF(C207&lt;&gt;"",TRUE,"")</f>
        <v/>
      </c>
      <c r="U207" s="74"/>
      <c r="V207" s="71"/>
      <c r="W207" s="304"/>
      <c r="X207" s="305"/>
      <c r="Y207" s="305"/>
      <c r="Z207" s="305"/>
      <c r="AA207" s="305"/>
      <c r="AB207" s="305"/>
      <c r="AC207" s="305"/>
      <c r="AD207" s="305"/>
      <c r="AE207" s="305"/>
      <c r="AF207" s="305"/>
      <c r="AG207" s="306"/>
    </row>
    <row r="208" spans="3:33" s="49" customFormat="1" ht="18" thickBot="1">
      <c r="C208" s="285"/>
      <c r="D208" s="286"/>
      <c r="E208" s="287"/>
      <c r="F208" s="288"/>
      <c r="G208" s="289"/>
      <c r="H208" s="291"/>
      <c r="I208" s="292"/>
      <c r="J208" s="292"/>
      <c r="K208" s="338"/>
      <c r="L208" s="339"/>
      <c r="M208" s="314"/>
      <c r="N208" s="334"/>
      <c r="O208" s="340"/>
      <c r="P208" s="340"/>
      <c r="Q208" s="55"/>
      <c r="R208" s="335">
        <f t="shared" si="7"/>
        <v>0</v>
      </c>
      <c r="S208" s="337">
        <f t="shared" si="8"/>
        <v>0</v>
      </c>
      <c r="T208" s="50" t="str">
        <f t="shared" si="9"/>
        <v/>
      </c>
      <c r="U208" s="74"/>
      <c r="V208" s="71"/>
      <c r="W208" s="304"/>
      <c r="X208" s="305"/>
      <c r="Y208" s="305"/>
      <c r="Z208" s="305"/>
      <c r="AA208" s="305"/>
      <c r="AB208" s="305"/>
      <c r="AC208" s="305"/>
      <c r="AD208" s="305"/>
      <c r="AE208" s="305"/>
      <c r="AF208" s="305"/>
      <c r="AG208" s="306"/>
    </row>
    <row r="209" spans="3:33" s="51" customFormat="1" ht="18" thickBot="1">
      <c r="C209" s="285"/>
      <c r="D209" s="286"/>
      <c r="E209" s="288"/>
      <c r="F209" s="288"/>
      <c r="G209" s="288"/>
      <c r="H209" s="288"/>
      <c r="I209" s="288"/>
      <c r="J209" s="288"/>
      <c r="K209" s="338"/>
      <c r="L209" s="339"/>
      <c r="M209" s="314"/>
      <c r="N209" s="334"/>
      <c r="O209" s="340"/>
      <c r="P209" s="340"/>
      <c r="Q209" s="55"/>
      <c r="R209" s="335">
        <f t="shared" si="7"/>
        <v>0</v>
      </c>
      <c r="S209" s="337">
        <f t="shared" si="8"/>
        <v>0</v>
      </c>
      <c r="T209" s="50" t="str">
        <f t="shared" si="9"/>
        <v/>
      </c>
      <c r="U209" s="74"/>
      <c r="V209" s="72"/>
      <c r="W209" s="304"/>
      <c r="X209" s="305"/>
      <c r="Y209" s="305"/>
      <c r="Z209" s="305"/>
      <c r="AA209" s="305"/>
      <c r="AB209" s="305"/>
      <c r="AC209" s="305"/>
      <c r="AD209" s="305"/>
      <c r="AE209" s="305"/>
      <c r="AF209" s="305"/>
      <c r="AG209" s="306"/>
    </row>
    <row r="210" spans="3:33" s="51" customFormat="1" ht="18" thickBot="1">
      <c r="C210" s="293"/>
      <c r="D210" s="294"/>
      <c r="E210" s="295"/>
      <c r="F210" s="295"/>
      <c r="G210" s="295"/>
      <c r="H210" s="295"/>
      <c r="I210" s="295"/>
      <c r="J210" s="295"/>
      <c r="K210" s="338"/>
      <c r="L210" s="339"/>
      <c r="M210" s="314"/>
      <c r="N210" s="334"/>
      <c r="O210" s="340"/>
      <c r="P210" s="340"/>
      <c r="Q210" s="55"/>
      <c r="R210" s="335">
        <f t="shared" si="7"/>
        <v>0</v>
      </c>
      <c r="S210" s="337">
        <f t="shared" si="8"/>
        <v>0</v>
      </c>
      <c r="T210" s="50" t="str">
        <f t="shared" si="9"/>
        <v/>
      </c>
      <c r="U210" s="74"/>
      <c r="V210" s="72"/>
      <c r="W210" s="304"/>
      <c r="X210" s="305"/>
      <c r="Y210" s="305"/>
      <c r="Z210" s="305"/>
      <c r="AA210" s="305"/>
      <c r="AB210" s="305"/>
      <c r="AC210" s="305"/>
      <c r="AD210" s="305"/>
      <c r="AE210" s="305"/>
      <c r="AF210" s="305"/>
      <c r="AG210" s="306"/>
    </row>
    <row r="211" spans="3:33" s="49" customFormat="1" ht="18" thickBot="1">
      <c r="C211" s="296"/>
      <c r="D211" s="297"/>
      <c r="E211" s="298"/>
      <c r="F211" s="299"/>
      <c r="G211" s="300"/>
      <c r="H211" s="298"/>
      <c r="I211" s="301"/>
      <c r="J211" s="301"/>
      <c r="K211" s="338"/>
      <c r="L211" s="339"/>
      <c r="M211" s="315"/>
      <c r="N211" s="334"/>
      <c r="O211" s="340"/>
      <c r="P211" s="340"/>
      <c r="Q211" s="66"/>
      <c r="R211" s="335">
        <f t="shared" si="7"/>
        <v>0</v>
      </c>
      <c r="S211" s="337">
        <f t="shared" si="8"/>
        <v>0</v>
      </c>
      <c r="T211" s="50" t="str">
        <f t="shared" si="9"/>
        <v/>
      </c>
      <c r="U211" s="74"/>
      <c r="V211" s="71"/>
      <c r="W211" s="304"/>
      <c r="X211" s="305"/>
      <c r="Y211" s="305"/>
      <c r="Z211" s="305"/>
      <c r="AA211" s="305"/>
      <c r="AB211" s="305"/>
      <c r="AC211" s="305"/>
      <c r="AD211" s="305"/>
      <c r="AE211" s="305"/>
      <c r="AF211" s="305"/>
      <c r="AG211" s="306"/>
    </row>
    <row r="212" spans="3:33" s="51" customFormat="1" ht="18" thickBot="1">
      <c r="C212" s="296"/>
      <c r="D212" s="297"/>
      <c r="E212" s="298"/>
      <c r="F212" s="299"/>
      <c r="G212" s="300"/>
      <c r="H212" s="298"/>
      <c r="I212" s="301"/>
      <c r="J212" s="301"/>
      <c r="K212" s="338"/>
      <c r="L212" s="339"/>
      <c r="M212" s="315"/>
      <c r="N212" s="334"/>
      <c r="O212" s="340"/>
      <c r="P212" s="340"/>
      <c r="Q212" s="66"/>
      <c r="R212" s="335">
        <f t="shared" si="7"/>
        <v>0</v>
      </c>
      <c r="S212" s="337">
        <f t="shared" si="8"/>
        <v>0</v>
      </c>
      <c r="T212" s="50" t="str">
        <f t="shared" si="9"/>
        <v/>
      </c>
      <c r="U212" s="74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8" thickBot="1">
      <c r="C213" s="296"/>
      <c r="D213" s="297"/>
      <c r="E213" s="298"/>
      <c r="F213" s="299"/>
      <c r="G213" s="300"/>
      <c r="H213" s="298"/>
      <c r="I213" s="301"/>
      <c r="J213" s="301"/>
      <c r="K213" s="338"/>
      <c r="L213" s="339"/>
      <c r="M213" s="315"/>
      <c r="N213" s="334"/>
      <c r="O213" s="340"/>
      <c r="P213" s="340"/>
      <c r="Q213" s="66"/>
      <c r="R213" s="335">
        <f t="shared" si="7"/>
        <v>0</v>
      </c>
      <c r="S213" s="337">
        <f t="shared" si="8"/>
        <v>0</v>
      </c>
      <c r="T213" s="50" t="str">
        <f t="shared" si="9"/>
        <v/>
      </c>
      <c r="U213" s="74"/>
      <c r="V213" s="69"/>
    </row>
    <row r="214" spans="3:33" s="10" customFormat="1" ht="19.8" customHeight="1" thickBot="1">
      <c r="C214" s="296"/>
      <c r="D214" s="297"/>
      <c r="E214" s="298"/>
      <c r="F214" s="299"/>
      <c r="G214" s="300"/>
      <c r="H214" s="298"/>
      <c r="I214" s="301"/>
      <c r="J214" s="301"/>
      <c r="K214" s="338"/>
      <c r="L214" s="339"/>
      <c r="M214" s="315"/>
      <c r="N214" s="334"/>
      <c r="O214" s="340"/>
      <c r="P214" s="340"/>
      <c r="Q214" s="66"/>
      <c r="R214" s="335">
        <f t="shared" si="7"/>
        <v>0</v>
      </c>
      <c r="S214" s="337">
        <f t="shared" si="8"/>
        <v>0</v>
      </c>
      <c r="T214" s="50" t="str">
        <f t="shared" si="9"/>
        <v/>
      </c>
      <c r="U214" s="74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" thickBot="1">
      <c r="C215" s="296"/>
      <c r="D215" s="297"/>
      <c r="E215" s="298"/>
      <c r="F215" s="299"/>
      <c r="G215" s="300"/>
      <c r="H215" s="298"/>
      <c r="I215" s="301"/>
      <c r="J215" s="301"/>
      <c r="K215" s="338"/>
      <c r="L215" s="339"/>
      <c r="M215" s="315"/>
      <c r="N215" s="334"/>
      <c r="O215" s="340"/>
      <c r="P215" s="340"/>
      <c r="Q215" s="66"/>
      <c r="R215" s="335">
        <f t="shared" si="7"/>
        <v>0</v>
      </c>
      <c r="S215" s="337">
        <f t="shared" si="8"/>
        <v>0</v>
      </c>
      <c r="T215" s="50" t="str">
        <f t="shared" si="9"/>
        <v/>
      </c>
      <c r="U215" s="74"/>
      <c r="V215" s="63"/>
    </row>
    <row r="216" spans="3:33" s="30" customFormat="1" ht="24.6" customHeight="1" thickBot="1">
      <c r="C216" s="296"/>
      <c r="D216" s="297"/>
      <c r="E216" s="298"/>
      <c r="F216" s="299"/>
      <c r="G216" s="300"/>
      <c r="H216" s="298"/>
      <c r="I216" s="301"/>
      <c r="J216" s="301"/>
      <c r="K216" s="338"/>
      <c r="L216" s="339"/>
      <c r="M216" s="315"/>
      <c r="N216" s="334"/>
      <c r="O216" s="340"/>
      <c r="P216" s="340"/>
      <c r="Q216" s="66"/>
      <c r="R216" s="335">
        <f t="shared" si="7"/>
        <v>0</v>
      </c>
      <c r="S216" s="337">
        <f t="shared" si="8"/>
        <v>0</v>
      </c>
      <c r="T216" s="50" t="str">
        <f t="shared" si="9"/>
        <v/>
      </c>
      <c r="U216" s="74"/>
      <c r="V216" s="69"/>
    </row>
    <row r="217" spans="3:33" ht="18" thickBot="1">
      <c r="C217" s="296"/>
      <c r="D217" s="297"/>
      <c r="E217" s="298"/>
      <c r="F217" s="299"/>
      <c r="G217" s="300"/>
      <c r="H217" s="298"/>
      <c r="I217" s="301"/>
      <c r="J217" s="301"/>
      <c r="K217" s="338"/>
      <c r="L217" s="339"/>
      <c r="M217" s="315"/>
      <c r="N217" s="334"/>
      <c r="O217" s="340"/>
      <c r="P217" s="340"/>
      <c r="Q217" s="66"/>
      <c r="R217" s="335">
        <f t="shared" si="7"/>
        <v>0</v>
      </c>
      <c r="S217" s="337">
        <f t="shared" si="8"/>
        <v>0</v>
      </c>
      <c r="T217" s="50" t="str">
        <f t="shared" si="9"/>
        <v/>
      </c>
      <c r="U217" s="74"/>
    </row>
    <row r="218" spans="3:33" ht="18" thickBot="1">
      <c r="C218" s="296"/>
      <c r="D218" s="297"/>
      <c r="E218" s="298"/>
      <c r="F218" s="299"/>
      <c r="G218" s="300"/>
      <c r="H218" s="298"/>
      <c r="I218" s="301"/>
      <c r="J218" s="301"/>
      <c r="K218" s="338"/>
      <c r="L218" s="339"/>
      <c r="M218" s="315"/>
      <c r="N218" s="334"/>
      <c r="O218" s="340"/>
      <c r="P218" s="340"/>
      <c r="Q218" s="66"/>
      <c r="R218" s="335">
        <f t="shared" si="7"/>
        <v>0</v>
      </c>
      <c r="S218" s="337">
        <f t="shared" si="8"/>
        <v>0</v>
      </c>
      <c r="T218" s="50" t="str">
        <f t="shared" si="9"/>
        <v/>
      </c>
      <c r="U218" s="74"/>
    </row>
    <row r="219" spans="3:33" ht="18" thickBot="1">
      <c r="C219" s="296"/>
      <c r="D219" s="297"/>
      <c r="E219" s="298"/>
      <c r="F219" s="299"/>
      <c r="G219" s="300"/>
      <c r="H219" s="298"/>
      <c r="I219" s="301"/>
      <c r="J219" s="301"/>
      <c r="K219" s="338"/>
      <c r="L219" s="339"/>
      <c r="M219" s="315"/>
      <c r="N219" s="334"/>
      <c r="O219" s="340"/>
      <c r="P219" s="340"/>
      <c r="Q219" s="66"/>
      <c r="R219" s="335">
        <f t="shared" si="7"/>
        <v>0</v>
      </c>
      <c r="S219" s="337">
        <f t="shared" si="8"/>
        <v>0</v>
      </c>
      <c r="T219" s="50" t="str">
        <f t="shared" si="9"/>
        <v/>
      </c>
      <c r="U219" s="74"/>
    </row>
    <row r="220" spans="3:33" ht="18" thickBot="1">
      <c r="C220" s="296"/>
      <c r="D220" s="297"/>
      <c r="E220" s="298"/>
      <c r="F220" s="299"/>
      <c r="G220" s="300"/>
      <c r="H220" s="298"/>
      <c r="I220" s="301"/>
      <c r="J220" s="301"/>
      <c r="K220" s="338"/>
      <c r="L220" s="339"/>
      <c r="M220" s="315"/>
      <c r="N220" s="334"/>
      <c r="O220" s="340"/>
      <c r="P220" s="340"/>
      <c r="Q220" s="66"/>
      <c r="R220" s="335">
        <f>N220*(1+O220)*(1+P220)</f>
        <v>0</v>
      </c>
      <c r="S220" s="337">
        <f t="shared" si="8"/>
        <v>0</v>
      </c>
      <c r="T220" s="50" t="str">
        <f t="shared" si="9"/>
        <v/>
      </c>
      <c r="U220" s="75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'Data Validation'!$A$2:$A$7</xm:f>
          </x14:formula1>
          <xm:sqref>C206:C220</xm:sqref>
        </x14:dataValidation>
        <x14:dataValidation type="list" allowBlank="1" showInputMessage="1" showErrorMessage="1">
          <x14:formula1>
            <xm:f>'Data Validation'!$L$2:$L$7</xm:f>
          </x14:formula1>
          <xm:sqref>E19</xm:sqref>
        </x14:dataValidation>
        <x14:dataValidation type="list" allowBlank="1" showInputMessage="1" showErrorMessage="1">
          <x14:formula1>
            <xm:f>'Data Validation'!$K$2:$K$20</xm:f>
          </x14:formula1>
          <xm:sqref>E20</xm:sqref>
        </x14:dataValidation>
        <x14:dataValidation type="list" allowBlank="1" showInputMessage="1" showErrorMessage="1">
          <x14:formula1>
            <xm:f>'Data Validation'!$G$2:$G$4</xm:f>
          </x14:formula1>
          <xm:sqref>P28</xm:sqref>
        </x14:dataValidation>
        <x14:dataValidation type="list" allowBlank="1" showInputMessage="1" showErrorMessage="1">
          <x14:formula1>
            <xm:f>'Data Validation'!$E$2:$E$17</xm:f>
          </x14:formula1>
          <xm:sqref>P25</xm:sqref>
        </x14:dataValidation>
        <x14:dataValidation type="list" allowBlank="1" showInputMessage="1" showErrorMessage="1">
          <x14:formula1>
            <xm:f>'Data Validation'!$H$2:$H$5</xm:f>
          </x14:formula1>
          <xm:sqref>P30</xm:sqref>
        </x14:dataValidation>
        <x14:dataValidation type="list" allowBlank="1" showInputMessage="1" showErrorMessage="1">
          <x14:formula1>
            <xm:f>'Data Validation'!$I$2:$I$3</xm:f>
          </x14:formula1>
          <xm:sqref>P31</xm:sqref>
        </x14:dataValidation>
        <x14:dataValidation type="list" allowBlank="1" showInputMessage="1" showErrorMessage="1">
          <x14:formula1>
            <xm:f>'Data Validation'!$F$2:$F$5</xm:f>
          </x14:formula1>
          <xm:sqref>P26</xm:sqref>
        </x14:dataValidation>
        <x14:dataValidation type="list" allowBlank="1" showInputMessage="1" showErrorMessage="1">
          <x14:formula1>
            <xm:f>'Data Validation'!$D$2:$D$5</xm:f>
          </x14:formula1>
          <xm:sqref>P23:P24</xm:sqref>
        </x14:dataValidation>
        <x14:dataValidation type="list" allowBlank="1" showInputMessage="1" showErrorMessage="1">
          <x14:formula1>
            <xm:f>'Data Validation'!$C$2:$C$3</xm:f>
          </x14:formula1>
          <xm:sqref>L43</xm:sqref>
        </x14:dataValidation>
        <x14:dataValidation type="list" allowBlank="1" showInputMessage="1" showErrorMessage="1">
          <x14:formula1>
            <xm:f>'Data Validation'!$B$2:$B$5</xm:f>
          </x14:formula1>
          <xm:sqref>L28</xm:sqref>
        </x14:dataValidation>
        <x14:dataValidation type="list" allowBlank="1" showInputMessage="1" showErrorMessage="1">
          <x14:formula1>
            <xm:f>'Data Validation'!$J$2:$J$15</xm:f>
          </x14:formula1>
          <xm:sqref>D7</xm:sqref>
        </x14:dataValidation>
        <x14:dataValidation type="list" allowBlank="1" showInputMessage="1" showErrorMessage="1">
          <x14:formula1>
            <xm:f>'Data Validation'!$N$2:$N$6</xm:f>
          </x14:formula1>
          <xm:sqref>J11</xm:sqref>
        </x14:dataValidation>
        <x14:dataValidation type="list" allowBlank="1" showInputMessage="1" showErrorMessage="1">
          <x14:formula1>
            <xm:f>'Data Validation'!$O$2:$O$7</xm:f>
          </x14:formula1>
          <xm:sqref>L24</xm:sqref>
        </x14:dataValidation>
        <x14:dataValidation type="list" allowBlank="1" showInputMessage="1" showErrorMessage="1">
          <x14:formula1>
            <xm:f>'Data Validation'!$P$2:$P$3</xm:f>
          </x14:formula1>
          <xm:sqref>P27</xm:sqref>
        </x14:dataValidation>
        <x14:dataValidation type="list" allowBlank="1" showInputMessage="1" showErrorMessage="1">
          <x14:formula1>
            <xm:f>'Data Validation'!$A$2:$A$15</xm:f>
          </x14:formula1>
          <xm:sqref>C51:C201</xm:sqref>
        </x14:dataValidation>
        <x14:dataValidation type="list" allowBlank="1" showInputMessage="1" showErrorMessage="1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2" t="s">
        <v>113</v>
      </c>
      <c r="L1" s="235" t="s">
        <v>0</v>
      </c>
      <c r="M1" s="236" t="s">
        <v>115</v>
      </c>
      <c r="N1" s="236" t="s">
        <v>1439</v>
      </c>
      <c r="O1" s="236" t="s">
        <v>1446</v>
      </c>
      <c r="P1" s="322" t="s">
        <v>1450</v>
      </c>
      <c r="Q1" s="322" t="s">
        <v>114</v>
      </c>
    </row>
    <row r="2" spans="1:17" ht="15.6">
      <c r="A2" s="58" t="s">
        <v>1481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1" t="s">
        <v>1484</v>
      </c>
      <c r="K2" s="231" t="s">
        <v>1485</v>
      </c>
      <c r="L2" s="234" t="s">
        <v>9</v>
      </c>
      <c r="M2" s="231"/>
      <c r="N2" s="316" t="s">
        <v>1440</v>
      </c>
      <c r="O2" s="59" t="s">
        <v>1453</v>
      </c>
      <c r="P2" s="59" t="s">
        <v>11</v>
      </c>
      <c r="Q2" t="s">
        <v>1506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1"/>
      <c r="K3" s="231"/>
      <c r="L3" s="234" t="s">
        <v>17</v>
      </c>
      <c r="M3" s="231"/>
      <c r="N3" s="316" t="s">
        <v>1441</v>
      </c>
      <c r="O3" s="59" t="s">
        <v>1455</v>
      </c>
      <c r="P3" s="59" t="s">
        <v>19</v>
      </c>
    </row>
    <row r="4" spans="1:17" ht="15.6">
      <c r="A4" s="58" t="s">
        <v>1482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1"/>
      <c r="K4" s="231"/>
      <c r="L4" s="234" t="s">
        <v>26</v>
      </c>
      <c r="M4" s="231"/>
      <c r="N4" s="316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1"/>
      <c r="K5" s="231"/>
      <c r="L5" s="234" t="s">
        <v>33</v>
      </c>
      <c r="M5" s="231"/>
      <c r="N5" s="316" t="s">
        <v>1443</v>
      </c>
      <c r="O5" s="59" t="s">
        <v>1459</v>
      </c>
      <c r="P5" s="59"/>
    </row>
    <row r="6" spans="1:17" ht="15.6">
      <c r="A6" s="58" t="s">
        <v>1483</v>
      </c>
      <c r="B6" s="58"/>
      <c r="C6" s="58"/>
      <c r="D6" s="58"/>
      <c r="E6" s="58" t="s">
        <v>40</v>
      </c>
      <c r="F6" s="58"/>
      <c r="G6" s="58"/>
      <c r="H6" s="58"/>
      <c r="I6" s="58"/>
      <c r="J6" s="231"/>
      <c r="K6" s="231"/>
      <c r="L6" s="234" t="s">
        <v>39</v>
      </c>
      <c r="M6" s="231"/>
      <c r="N6" s="316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1"/>
      <c r="K7" s="231"/>
      <c r="L7" s="234" t="s">
        <v>41</v>
      </c>
      <c r="M7" s="231"/>
      <c r="N7" s="316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7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7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7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7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7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7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7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7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7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7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7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7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7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7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7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7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7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7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7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7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7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7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7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7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7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7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7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7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7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2023-12-19T12:10:20Z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